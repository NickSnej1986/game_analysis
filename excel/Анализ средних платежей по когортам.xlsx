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Мои Файлы\SkyPro Data Аналитик\SQL\Курсовой проект\Финансовый анализ игры\"/>
    </mc:Choice>
  </mc:AlternateContent>
  <xr:revisionPtr revIDLastSave="0" documentId="13_ncr:1_{6F46FA4F-EAEF-4FF1-908B-5BB2FCB9D66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Результат запроса" sheetId="1" r:id="rId1"/>
  </sheets>
  <definedNames>
    <definedName name="_xlnm._FilterDatabase" localSheetId="0" hidden="1">'Результат запроса'!$A$1:$F$1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<sst xmlns="http://schemas.openxmlformats.org/spreadsheetml/2006/main" count="6" uniqueCount="6">
  <si>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Месяц</t>
  </si>
  <si>
    <t>Выручка</t>
  </si>
  <si>
    <t>Число игроков</t>
  </si>
  <si>
    <t>Ср выручка за 1 месяц</t>
  </si>
  <si>
    <t>Ср выручка за все время</t>
  </si>
  <si>
    <t>Когорта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</si>
</sst>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.##"/>
    <numFmt numFmtId="169" formatCode="[$-419]mmmm\ yyyy;@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166" fontId="0" fillId="0" borderId="0" xfId="0" applyNumberFormat="1"/>
    <xf numFmtId="16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Когортный анализ игры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'Результат запроса'!$C$1</c:f>
              <c:strCache>
                <c:ptCount val="1"/>
                <c:pt idx="0">
                  <c:v>Число игроков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solidFill>
                <a:srgbClr val="0070C0">
                  <a:alpha val="4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>
                      <a:solidFill>
                        <a:schemeClr val="tx1">
                          <a:alpha val="40000"/>
                        </a:schemeClr>
                      </a:solidFill>
                    </a:ln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'Результат запроса'!$A$2:$A$10</c:f>
              <c:numCache>
                <c:formatCode>[$-419]mmmm\ yyyy;@</c:formatCode>
                <c:ptCount val="9"/>
                <c:pt idx="0">
                  <c:v>44743</c:v>
                </c:pt>
                <c:pt idx="1">
                  <c:v>44774</c:v>
                </c:pt>
                <c:pt idx="2">
                  <c:v>44805</c:v>
                </c:pt>
                <c:pt idx="3">
                  <c:v>44835</c:v>
                </c:pt>
                <c:pt idx="4">
                  <c:v>44866</c:v>
                </c:pt>
                <c:pt idx="5">
                  <c:v>44896</c:v>
                </c:pt>
                <c:pt idx="6">
                  <c:v>44927</c:v>
                </c:pt>
                <c:pt idx="7">
                  <c:v>44958</c:v>
                </c:pt>
                <c:pt idx="8">
                  <c:v>44986</c:v>
                </c:pt>
              </c:numCache>
            </c:numRef>
          </c:cat>
          <c:val>
            <c:numRef>
              <c:f>'Результат запроса'!$C$2:$C$10</c:f>
              <c:numCache>
                <c:formatCode>#,##0</c:formatCode>
                <c:ptCount val="9"/>
                <c:pt idx="0">
                  <c:v>71</c:v>
                </c:pt>
                <c:pt idx="1">
                  <c:v>76</c:v>
                </c:pt>
                <c:pt idx="2">
                  <c:v>82</c:v>
                </c:pt>
                <c:pt idx="3">
                  <c:v>87</c:v>
                </c:pt>
                <c:pt idx="4">
                  <c:v>77</c:v>
                </c:pt>
                <c:pt idx="5">
                  <c:v>83</c:v>
                </c:pt>
                <c:pt idx="6">
                  <c:v>127</c:v>
                </c:pt>
                <c:pt idx="7">
                  <c:v>124</c:v>
                </c:pt>
                <c:pt idx="8">
                  <c:v>206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C8-45EE-B608-ECE40396E70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28629775"/>
        <c:axId val="1428630735"/>
      </c:barChart>
      <c:lineChart>
        <c:grouping val="standard"/>
        <c:varyColors val="0"/>
        <c:ser>
          <c:idx val="1"/>
          <c:order val="1"/>
          <c:tx>
            <c:strRef>
              <c:f>'Результат запроса'!$D$1</c:f>
              <c:strCache>
                <c:ptCount val="1"/>
                <c:pt idx="0">
                  <c:v>Ср выручка за все время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solidFill>
                <a:srgbClr val="FFC000">
                  <a:alpha val="5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>
                      <a:solidFill>
                        <a:schemeClr val="tx1">
                          <a:alpha val="30000"/>
                        </a:schemeClr>
                      </a:solidFill>
                    </a:ln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'Результат запроса'!$A$2:$A$10</c:f>
              <c:numCache>
                <c:formatCode>[$-419]mmmm\ yyyy;@</c:formatCode>
                <c:ptCount val="9"/>
                <c:pt idx="0">
                  <c:v>44743</c:v>
                </c:pt>
                <c:pt idx="1">
                  <c:v>44774</c:v>
                </c:pt>
                <c:pt idx="2">
                  <c:v>44805</c:v>
                </c:pt>
                <c:pt idx="3">
                  <c:v>44835</c:v>
                </c:pt>
                <c:pt idx="4">
                  <c:v>44866</c:v>
                </c:pt>
                <c:pt idx="5">
                  <c:v>44896</c:v>
                </c:pt>
                <c:pt idx="6">
                  <c:v>44927</c:v>
                </c:pt>
                <c:pt idx="7">
                  <c:v>44958</c:v>
                </c:pt>
                <c:pt idx="8">
                  <c:v>44986</c:v>
                </c:pt>
              </c:numCache>
            </c:numRef>
          </c:cat>
          <c:val>
            <c:numRef>
              <c:f>'Результат запроса'!$D$2:$D$10</c:f>
              <c:numCache>
                <c:formatCode>#\ ##0.##</c:formatCode>
                <c:ptCount val="9"/>
                <c:pt idx="0">
                  <c:v>1185.4647887323943</c:v>
                </c:pt>
                <c:pt idx="1">
                  <c:v>855.34210526315792</c:v>
                </c:pt>
                <c:pt idx="2">
                  <c:v>1052.5853658536585</c:v>
                </c:pt>
                <c:pt idx="3">
                  <c:v>929.24137931034488</c:v>
                </c:pt>
                <c:pt idx="4">
                  <c:v>1048.2987012987012</c:v>
                </c:pt>
                <c:pt idx="5">
                  <c:v>992.25301204819277</c:v>
                </c:pt>
                <c:pt idx="6">
                  <c:v>1021.2598425196851</c:v>
                </c:pt>
                <c:pt idx="7">
                  <c:v>1155.2177419354839</c:v>
                </c:pt>
                <c:pt idx="8">
                  <c:v>1087.4320388349515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2C8-45EE-B608-ECE40396E709}"/>
            </c:ext>
          </c:extLst>
        </c:ser>
        <c:ser>
          <c:idx val="2"/>
          <c:order val="2"/>
          <c:tx>
            <c:strRef>
              <c:f>'Результат запроса'!$F$1</c:f>
              <c:strCache>
                <c:ptCount val="1"/>
                <c:pt idx="0">
                  <c:v>Ср выручка за 1 месяц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solidFill>
                <a:srgbClr val="92D050">
                  <a:alpha val="5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>
                      <a:solidFill>
                        <a:schemeClr val="tx1">
                          <a:alpha val="30000"/>
                        </a:schemeClr>
                      </a:solidFill>
                    </a:ln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'Результат запроса'!$A$2:$A$10</c:f>
              <c:numCache>
                <c:formatCode>[$-419]mmmm\ yyyy;@</c:formatCode>
                <c:ptCount val="9"/>
                <c:pt idx="0">
                  <c:v>44743</c:v>
                </c:pt>
                <c:pt idx="1">
                  <c:v>44774</c:v>
                </c:pt>
                <c:pt idx="2">
                  <c:v>44805</c:v>
                </c:pt>
                <c:pt idx="3">
                  <c:v>44835</c:v>
                </c:pt>
                <c:pt idx="4">
                  <c:v>44866</c:v>
                </c:pt>
                <c:pt idx="5">
                  <c:v>44896</c:v>
                </c:pt>
                <c:pt idx="6">
                  <c:v>44927</c:v>
                </c:pt>
                <c:pt idx="7">
                  <c:v>44958</c:v>
                </c:pt>
                <c:pt idx="8">
                  <c:v>44986</c:v>
                </c:pt>
              </c:numCache>
            </c:numRef>
          </c:cat>
          <c:val>
            <c:numRef>
              <c:f>'Результат запроса'!$F$2:$F$10</c:f>
              <c:numCache>
                <c:formatCode>#\ ##0.##</c:formatCode>
                <c:ptCount val="9"/>
                <c:pt idx="0">
                  <c:v>118.54647887323944</c:v>
                </c:pt>
                <c:pt idx="1">
                  <c:v>95.038011695906434</c:v>
                </c:pt>
                <c:pt idx="2">
                  <c:v>150.36933797909407</c:v>
                </c:pt>
                <c:pt idx="3">
                  <c:v>154.87356321839081</c:v>
                </c:pt>
                <c:pt idx="4">
                  <c:v>209.65974025974026</c:v>
                </c:pt>
                <c:pt idx="5">
                  <c:v>248.06325301204819</c:v>
                </c:pt>
                <c:pt idx="6">
                  <c:v>340.4199475065617</c:v>
                </c:pt>
                <c:pt idx="7">
                  <c:v>577.60887096774195</c:v>
                </c:pt>
                <c:pt idx="8">
                  <c:v>1087.4320388349515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2C8-45EE-B608-ECE40396E70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28631215"/>
        <c:axId val="1428624015"/>
      </c:lineChart>
      <c:dateAx>
        <c:axId val="14286297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Месяц, год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[$-419]mmmm\ yyyy;@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28630735"/>
        <c:crosses val="autoZero"/>
        <c:auto val="1"/>
        <c:lblOffset val="100"/>
        <c:baseTimeUnit val="months"/>
      </c:dateAx>
      <c:valAx>
        <c:axId val="1428630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Число игроков когорты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28629775"/>
        <c:crosses val="autoZero"/>
        <c:crossBetween val="between"/>
      </c:valAx>
      <c:valAx>
        <c:axId val="1428624015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Средний платеж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#\ ##0.##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28631215"/>
        <c:crosses val="max"/>
        <c:crossBetween val="between"/>
      </c:valAx>
      <c:dateAx>
        <c:axId val="1428631215"/>
        <c:scaling>
          <c:orientation val="minMax"/>
        </c:scaling>
        <c:delete val="1"/>
        <c:axPos val="b"/>
        <c:numFmt formatCode="[$-419]mmmm\ yyyy;@" sourceLinked="1"/>
        <c:majorTickMark val="out"/>
        <c:minorTickMark val="none"/>
        <c:tickLblPos val="nextTo"/>
        <c:crossAx val="1428624015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</xdr:colOff>
      <xdr:row>10</xdr:row>
      <xdr:rowOff>15246</xdr:rowOff>
    </xdr:from>
    <xdr:to>
      <xdr:col>6</xdr:col>
      <xdr:colOff>15240</xdr:colOff>
      <xdr:row>29</xdr:row>
      <xdr:rowOff>160020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4B264F30-20E7-80DA-74FC-0DCB2C59CF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pane ySplit="1" topLeftCell="A2" activePane="bottomLeft" state="frozen"/>
      <selection pane="bottomLeft" activeCell="I9" sqref="I9"/>
    </sheetView>
  </sheetViews>
  <sheetFormatPr defaultRowHeight="14.4" x14ac:dyDescent="0.3"/>
  <cols>
    <col min="1" max="1" width="28.88671875" customWidth="1"/>
    <col min="2" max="2" width="11.6640625" customWidth="1"/>
    <col min="3" max="4" width="11.88671875" customWidth="1"/>
    <col min="5" max="5" width="9.6640625" customWidth="1"/>
    <col min="6" max="6" width="2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3</v>
      </c>
    </row>
    <row r="2" spans="1:6" x14ac:dyDescent="0.3">
      <c r="A2" s="3">
        <v>44743</v>
      </c>
      <c r="B2" s="1">
        <v>84168</v>
      </c>
      <c r="C2" s="1">
        <v>71</v>
      </c>
      <c r="D2" s="2">
        <v>1185.4647887323943</v>
      </c>
      <c r="E2" s="1">
        <v>10</v>
      </c>
      <c r="F2" s="2">
        <v>118.54647887323944</v>
      </c>
    </row>
    <row r="3" spans="1:6" x14ac:dyDescent="0.3">
      <c r="A3" s="3">
        <v>44774</v>
      </c>
      <c r="B3" s="1">
        <v>65006</v>
      </c>
      <c r="C3" s="1">
        <v>76</v>
      </c>
      <c r="D3" s="2">
        <v>855.34210526315792</v>
      </c>
      <c r="E3" s="1">
        <v>9</v>
      </c>
      <c r="F3" s="2">
        <v>95.038011695906434</v>
      </c>
    </row>
    <row r="4" spans="1:6" x14ac:dyDescent="0.3">
      <c r="A4" s="3">
        <v>44805</v>
      </c>
      <c r="B4" s="1">
        <v>86312</v>
      </c>
      <c r="C4" s="1">
        <v>82</v>
      </c>
      <c r="D4" s="2">
        <v>1052.5853658536585</v>
      </c>
      <c r="E4" s="1">
        <v>7</v>
      </c>
      <c r="F4" s="2">
        <v>150.36933797909407</v>
      </c>
    </row>
    <row r="5" spans="1:6" x14ac:dyDescent="0.3">
      <c r="A5" s="3">
        <v>44835</v>
      </c>
      <c r="B5" s="1">
        <v>80844</v>
      </c>
      <c r="C5" s="1">
        <v>87</v>
      </c>
      <c r="D5" s="2">
        <v>929.24137931034488</v>
      </c>
      <c r="E5" s="1">
        <v>6</v>
      </c>
      <c r="F5" s="2">
        <v>154.87356321839081</v>
      </c>
    </row>
    <row r="6" spans="1:6" x14ac:dyDescent="0.3">
      <c r="A6" s="3">
        <v>44866</v>
      </c>
      <c r="B6" s="1">
        <v>80719</v>
      </c>
      <c r="C6" s="1">
        <v>77</v>
      </c>
      <c r="D6" s="2">
        <v>1048.2987012987012</v>
      </c>
      <c r="E6" s="1">
        <v>5</v>
      </c>
      <c r="F6" s="2">
        <v>209.65974025974026</v>
      </c>
    </row>
    <row r="7" spans="1:6" x14ac:dyDescent="0.3">
      <c r="A7" s="3">
        <v>44896</v>
      </c>
      <c r="B7" s="1">
        <v>82357</v>
      </c>
      <c r="C7" s="1">
        <v>83</v>
      </c>
      <c r="D7" s="2">
        <v>992.25301204819277</v>
      </c>
      <c r="E7" s="1">
        <v>4</v>
      </c>
      <c r="F7" s="2">
        <v>248.06325301204819</v>
      </c>
    </row>
    <row r="8" spans="1:6" x14ac:dyDescent="0.3">
      <c r="A8" s="3">
        <v>44927</v>
      </c>
      <c r="B8" s="1">
        <v>129700</v>
      </c>
      <c r="C8" s="1">
        <v>127</v>
      </c>
      <c r="D8" s="2">
        <v>1021.2598425196851</v>
      </c>
      <c r="E8" s="1">
        <v>3</v>
      </c>
      <c r="F8" s="2">
        <v>340.4199475065617</v>
      </c>
    </row>
    <row r="9" spans="1:6" x14ac:dyDescent="0.3">
      <c r="A9" s="3">
        <v>44958</v>
      </c>
      <c r="B9" s="1">
        <v>143247</v>
      </c>
      <c r="C9" s="1">
        <v>124</v>
      </c>
      <c r="D9" s="2">
        <v>1155.2177419354839</v>
      </c>
      <c r="E9" s="1">
        <v>2</v>
      </c>
      <c r="F9" s="2">
        <v>577.60887096774195</v>
      </c>
    </row>
    <row r="10" spans="1:6" x14ac:dyDescent="0.3">
      <c r="A10" s="3">
        <v>44986</v>
      </c>
      <c r="B10" s="1">
        <v>224011</v>
      </c>
      <c r="C10" s="1">
        <v>206</v>
      </c>
      <c r="D10" s="2">
        <v>1087.4320388349515</v>
      </c>
      <c r="E10" s="1">
        <v>1</v>
      </c>
      <c r="F10" s="2">
        <v>1087.4320388349515</v>
      </c>
    </row>
  </sheetData>
  <autoFilter ref="A1:F1" xr:uid="{00000000-0009-0000-0000-000000000000}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Результат запроса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DA 164.2</cp:lastModifiedBy>
  <dcterms:created xsi:type="dcterms:W3CDTF">2026-06-18T09:31:11Z</dcterms:created>
  <dcterms:modified xsi:type="dcterms:W3CDTF">2026-06-19T11:05:02Z</dcterms:modified>
</cp:coreProperties>
</file>