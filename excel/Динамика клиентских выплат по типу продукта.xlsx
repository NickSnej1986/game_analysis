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Финансовый анализ игры\"/>
    </mc:Choice>
  </mc:AlternateContent>
  <xr:revisionPtr revIDLastSave="0" documentId="13_ncr:1_{A7AF9741-7C86-4BAD-8BAC-21800329BA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зультат запроса" sheetId="1" r:id="rId1"/>
  </sheets>
  <definedNames>
    <definedName name="_xlcn.WorksheetConnection_РезультатзапросаA1C511" hidden="1">'Результат запроса'!$A$1:$C$51</definedName>
    <definedName name="_xlnm._FilterDatabase" localSheetId="0" hidden="1">'Результат запроса'!$A$1:$C$1</definedName>
  </definedNames>
  <calcPr calcId="0"/>
  <pivotCaches>
    <pivotCache cacheId="19" r:id="rId2"/>
    <pivotCache cacheId="43" r:id="rId3"/>
  </pivotCaches>
  <extLst>
    <ext xmlns:x15="http://schemas.microsoft.com/office/spreadsheetml/2010/11/main" uri="{FCE2AD5D-F65C-4FA6-A056-5C36A1767C68}">
      <x15:dataModel>
        <x15:modelTables>
          <x15:modelTable id="Диапазон" name="Диапазон" connection="WorksheetConnection_Результат запроса!$A$1:$C$5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CA8967-01D9-4906-B79A-3B1C5225DF38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2951079-B742-4713-BCCC-B9CD98D53249}" name="WorksheetConnection_Результат запроса!$A$1:$C$51" type="102" refreshedVersion="8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РезультатзапросаA1C511"/>
        </x15:connection>
      </ext>
    </extLst>
  </connection>
</connections>
</file>

<file path=xl/sharedStrings.xml><?xml version="1.0" encoding="utf-8"?>
<sst xmlns="http://schemas.openxmlformats.org/spreadsheetml/2006/main" count="74" uniqueCount="13">
  <si>
    <t>Ammo</t>
  </si>
  <si>
    <t>Currency</t>
  </si>
  <si>
    <t>Materials</t>
  </si>
  <si>
    <t>Transport</t>
  </si>
  <si>
    <t>Weapon</t>
  </si>
  <si>
    <t>Месяц</t>
  </si>
  <si>
    <t>Тип продукта</t>
  </si>
  <si>
    <t>Выручка</t>
  </si>
  <si>
    <t>Сумма по полю Выручка</t>
  </si>
  <si>
    <t>Названия строк</t>
  </si>
  <si>
    <t>Общий итог</t>
  </si>
  <si>
    <t>Названия столбцов</t>
  </si>
  <si>
    <t>Доля от общей суммы выручки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</si>
</sst>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19]mmmm\ yyyy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[Динамика клиентских выплат по типу продукта.xlsx]Результат запроса!Сводная таблица9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выручки</a:t>
            </a:r>
            <a:r>
              <a:rPr lang="ru-RU" baseline="0"/>
              <a:t> по типам продукта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'Результат запроса'!$F$2:$F$3</c:f>
              <c:strCache>
                <c:ptCount val="1"/>
                <c:pt idx="0">
                  <c:v>Ammo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'Результат запроса'!$E$4:$E$14</c:f>
              <c:strCache>
                <c:ptCount val="10"/>
                <c:pt idx="0">
                  <c:v>Июль 2022</c:v>
                </c:pt>
                <c:pt idx="1">
                  <c:v>Август 2022</c:v>
                </c:pt>
                <c:pt idx="2">
                  <c:v>Сентябрь 2022</c:v>
                </c:pt>
                <c:pt idx="3">
                  <c:v>Октябрь 2022</c:v>
                </c:pt>
                <c:pt idx="4">
                  <c:v>Ноябрь 2022</c:v>
                </c:pt>
                <c:pt idx="5">
                  <c:v>Декабрь 2022</c:v>
                </c:pt>
                <c:pt idx="6">
                  <c:v>Январь 2023</c:v>
                </c:pt>
                <c:pt idx="7">
                  <c:v>Февраль 2023</c:v>
                </c:pt>
                <c:pt idx="8">
                  <c:v>Март 2023</c:v>
                </c:pt>
                <c:pt idx="9">
                  <c:v>Апрель 2023</c:v>
                </c:pt>
              </c:strCache>
            </c:strRef>
          </c:cat>
          <c:val>
            <c:numRef>
              <c:f>'Результат запроса'!$F$4:$F$14</c:f>
              <c:numCache>
                <c:formatCode>#,##0</c:formatCode>
                <c:ptCount val="10"/>
                <c:pt idx="0">
                  <c:v>11500</c:v>
                </c:pt>
                <c:pt idx="1">
                  <c:v>14750</c:v>
                </c:pt>
                <c:pt idx="2">
                  <c:v>18500</c:v>
                </c:pt>
                <c:pt idx="3">
                  <c:v>16250</c:v>
                </c:pt>
                <c:pt idx="4">
                  <c:v>22250</c:v>
                </c:pt>
                <c:pt idx="5">
                  <c:v>11250</c:v>
                </c:pt>
                <c:pt idx="6">
                  <c:v>31000</c:v>
                </c:pt>
                <c:pt idx="7">
                  <c:v>32500</c:v>
                </c:pt>
                <c:pt idx="8">
                  <c:v>49000</c:v>
                </c:pt>
                <c:pt idx="9">
                  <c:v>16750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5-4C71-8647-18C8F00EAA65}"/>
            </c:ext>
          </c:extLst>
        </c:ser>
        <c:ser>
          <c:idx val="1"/>
          <c:order val="1"/>
          <c:tx>
            <c:strRef>
              <c:f>'Результат запроса'!$G$2:$G$3</c:f>
              <c:strCache>
                <c:ptCount val="1"/>
                <c:pt idx="0">
                  <c:v>Currency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'Результат запроса'!$E$4:$E$14</c:f>
              <c:strCache>
                <c:ptCount val="10"/>
                <c:pt idx="0">
                  <c:v>Июль 2022</c:v>
                </c:pt>
                <c:pt idx="1">
                  <c:v>Август 2022</c:v>
                </c:pt>
                <c:pt idx="2">
                  <c:v>Сентябрь 2022</c:v>
                </c:pt>
                <c:pt idx="3">
                  <c:v>Октябрь 2022</c:v>
                </c:pt>
                <c:pt idx="4">
                  <c:v>Ноябрь 2022</c:v>
                </c:pt>
                <c:pt idx="5">
                  <c:v>Декабрь 2022</c:v>
                </c:pt>
                <c:pt idx="6">
                  <c:v>Январь 2023</c:v>
                </c:pt>
                <c:pt idx="7">
                  <c:v>Февраль 2023</c:v>
                </c:pt>
                <c:pt idx="8">
                  <c:v>Март 2023</c:v>
                </c:pt>
                <c:pt idx="9">
                  <c:v>Апрель 2023</c:v>
                </c:pt>
              </c:strCache>
            </c:strRef>
          </c:cat>
          <c:val>
            <c:numRef>
              <c:f>'Результат запроса'!$G$4:$G$14</c:f>
              <c:numCache>
                <c:formatCode>#,##0</c:formatCode>
                <c:ptCount val="10"/>
                <c:pt idx="0">
                  <c:v>12930</c:v>
                </c:pt>
                <c:pt idx="1">
                  <c:v>39170</c:v>
                </c:pt>
                <c:pt idx="2">
                  <c:v>25580</c:v>
                </c:pt>
                <c:pt idx="3">
                  <c:v>31280</c:v>
                </c:pt>
                <c:pt idx="4">
                  <c:v>24580</c:v>
                </c:pt>
                <c:pt idx="5">
                  <c:v>26730</c:v>
                </c:pt>
                <c:pt idx="6">
                  <c:v>49300</c:v>
                </c:pt>
                <c:pt idx="7">
                  <c:v>45180</c:v>
                </c:pt>
                <c:pt idx="8">
                  <c:v>106440</c:v>
                </c:pt>
                <c:pt idx="9">
                  <c:v>39800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B45-4C71-8647-18C8F00EAA65}"/>
            </c:ext>
          </c:extLst>
        </c:ser>
        <c:ser>
          <c:idx val="2"/>
          <c:order val="2"/>
          <c:tx>
            <c:strRef>
              <c:f>'Результат запроса'!$H$2:$H$3</c:f>
              <c:strCache>
                <c:ptCount val="1"/>
                <c:pt idx="0">
                  <c:v>Materials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'Результат запроса'!$E$4:$E$14</c:f>
              <c:strCache>
                <c:ptCount val="10"/>
                <c:pt idx="0">
                  <c:v>Июль 2022</c:v>
                </c:pt>
                <c:pt idx="1">
                  <c:v>Август 2022</c:v>
                </c:pt>
                <c:pt idx="2">
                  <c:v>Сентябрь 2022</c:v>
                </c:pt>
                <c:pt idx="3">
                  <c:v>Октябрь 2022</c:v>
                </c:pt>
                <c:pt idx="4">
                  <c:v>Ноябрь 2022</c:v>
                </c:pt>
                <c:pt idx="5">
                  <c:v>Декабрь 2022</c:v>
                </c:pt>
                <c:pt idx="6">
                  <c:v>Январь 2023</c:v>
                </c:pt>
                <c:pt idx="7">
                  <c:v>Февраль 2023</c:v>
                </c:pt>
                <c:pt idx="8">
                  <c:v>Март 2023</c:v>
                </c:pt>
                <c:pt idx="9">
                  <c:v>Апрель 2023</c:v>
                </c:pt>
              </c:strCache>
            </c:strRef>
          </c:cat>
          <c:val>
            <c:numRef>
              <c:f>'Результат запроса'!$H$4:$H$14</c:f>
              <c:numCache>
                <c:formatCode>#,##0</c:formatCode>
                <c:ptCount val="10"/>
                <c:pt idx="0">
                  <c:v>14700</c:v>
                </c:pt>
                <c:pt idx="1">
                  <c:v>11900</c:v>
                </c:pt>
                <c:pt idx="2">
                  <c:v>21800</c:v>
                </c:pt>
                <c:pt idx="3">
                  <c:v>18800</c:v>
                </c:pt>
                <c:pt idx="4">
                  <c:v>20400</c:v>
                </c:pt>
                <c:pt idx="5">
                  <c:v>18800</c:v>
                </c:pt>
                <c:pt idx="6">
                  <c:v>27000</c:v>
                </c:pt>
                <c:pt idx="7">
                  <c:v>30200</c:v>
                </c:pt>
                <c:pt idx="8">
                  <c:v>46500</c:v>
                </c:pt>
                <c:pt idx="9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B45-4C71-8647-18C8F00EAA65}"/>
            </c:ext>
          </c:extLst>
        </c:ser>
        <c:ser>
          <c:idx val="3"/>
          <c:order val="3"/>
          <c:tx>
            <c:strRef>
              <c:f>'Результат запроса'!$I$2:$I$3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'Результат запроса'!$E$4:$E$14</c:f>
              <c:strCache>
                <c:ptCount val="10"/>
                <c:pt idx="0">
                  <c:v>Июль 2022</c:v>
                </c:pt>
                <c:pt idx="1">
                  <c:v>Август 2022</c:v>
                </c:pt>
                <c:pt idx="2">
                  <c:v>Сентябрь 2022</c:v>
                </c:pt>
                <c:pt idx="3">
                  <c:v>Октябрь 2022</c:v>
                </c:pt>
                <c:pt idx="4">
                  <c:v>Ноябрь 2022</c:v>
                </c:pt>
                <c:pt idx="5">
                  <c:v>Декабрь 2022</c:v>
                </c:pt>
                <c:pt idx="6">
                  <c:v>Январь 2023</c:v>
                </c:pt>
                <c:pt idx="7">
                  <c:v>Февраль 2023</c:v>
                </c:pt>
                <c:pt idx="8">
                  <c:v>Март 2023</c:v>
                </c:pt>
                <c:pt idx="9">
                  <c:v>Апрель 2023</c:v>
                </c:pt>
              </c:strCache>
            </c:strRef>
          </c:cat>
          <c:val>
            <c:numRef>
              <c:f>'Результат запроса'!$I$4:$I$14</c:f>
              <c:numCache>
                <c:formatCode>#,##0</c:formatCode>
                <c:ptCount val="10"/>
                <c:pt idx="0">
                  <c:v>9485</c:v>
                </c:pt>
                <c:pt idx="1">
                  <c:v>11681</c:v>
                </c:pt>
                <c:pt idx="2">
                  <c:v>5291</c:v>
                </c:pt>
                <c:pt idx="3">
                  <c:v>9584</c:v>
                </c:pt>
                <c:pt idx="4">
                  <c:v>10782</c:v>
                </c:pt>
                <c:pt idx="5">
                  <c:v>5691</c:v>
                </c:pt>
                <c:pt idx="6">
                  <c:v>15374</c:v>
                </c:pt>
                <c:pt idx="7">
                  <c:v>15374</c:v>
                </c:pt>
                <c:pt idx="8">
                  <c:v>13578</c:v>
                </c:pt>
                <c:pt idx="9">
                  <c:v>10281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45-4C71-8647-18C8F00EAA65}"/>
            </c:ext>
          </c:extLst>
        </c:ser>
        <c:ser>
          <c:idx val="4"/>
          <c:order val="4"/>
          <c:tx>
            <c:strRef>
              <c:f>'Результат запроса'!$J$2:$J$3</c:f>
              <c:strCache>
                <c:ptCount val="1"/>
                <c:pt idx="0">
                  <c:v>Weapon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'Результат запроса'!$E$4:$E$14</c:f>
              <c:strCache>
                <c:ptCount val="10"/>
                <c:pt idx="0">
                  <c:v>Июль 2022</c:v>
                </c:pt>
                <c:pt idx="1">
                  <c:v>Август 2022</c:v>
                </c:pt>
                <c:pt idx="2">
                  <c:v>Сентябрь 2022</c:v>
                </c:pt>
                <c:pt idx="3">
                  <c:v>Октябрь 2022</c:v>
                </c:pt>
                <c:pt idx="4">
                  <c:v>Ноябрь 2022</c:v>
                </c:pt>
                <c:pt idx="5">
                  <c:v>Декабрь 2022</c:v>
                </c:pt>
                <c:pt idx="6">
                  <c:v>Январь 2023</c:v>
                </c:pt>
                <c:pt idx="7">
                  <c:v>Февраль 2023</c:v>
                </c:pt>
                <c:pt idx="8">
                  <c:v>Март 2023</c:v>
                </c:pt>
                <c:pt idx="9">
                  <c:v>Апрель 2023</c:v>
                </c:pt>
              </c:strCache>
            </c:strRef>
          </c:cat>
          <c:val>
            <c:numRef>
              <c:f>'Результат запроса'!$J$4:$J$14</c:f>
              <c:numCache>
                <c:formatCode>#,##0</c:formatCode>
                <c:ptCount val="10"/>
                <c:pt idx="0">
                  <c:v>798</c:v>
                </c:pt>
                <c:pt idx="1">
                  <c:v>1270</c:v>
                </c:pt>
                <c:pt idx="2">
                  <c:v>2039</c:v>
                </c:pt>
                <c:pt idx="3">
                  <c:v>599</c:v>
                </c:pt>
                <c:pt idx="4">
                  <c:v>1807</c:v>
                </c:pt>
                <c:pt idx="5">
                  <c:v>609</c:v>
                </c:pt>
                <c:pt idx="6">
                  <c:v>4064</c:v>
                </c:pt>
                <c:pt idx="7">
                  <c:v>1258</c:v>
                </c:pt>
                <c:pt idx="8">
                  <c:v>3670</c:v>
                </c:pt>
                <c:pt idx="9">
                  <c:v>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B45-4C71-8647-18C8F00EA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838528"/>
        <c:axId val="1691839968"/>
      </c:barChart>
      <c:catAx>
        <c:axId val="169183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839968"/>
        <c:crosses val="autoZero"/>
        <c:auto val="1"/>
        <c:lblAlgn val="ctr"/>
        <c:lblOffset val="100"/>
        <c:noMultiLvlLbl val="0"/>
      </c:catAx>
      <c:valAx>
        <c:axId val="169183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183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[Динамика клиентских выплат по типу продукта.xlsx]Результат запроса!Сводная таблица10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выручки по месяцам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запроса'!$Q$2</c:f>
              <c:strCache>
                <c:ptCount val="1"/>
                <c:pt idx="0">
                  <c:v>Итог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'Результат запроса'!$P$3:$P$13</c:f>
              <c:strCache>
                <c:ptCount val="10"/>
                <c:pt idx="0">
                  <c:v>Июль 2022</c:v>
                </c:pt>
                <c:pt idx="1">
                  <c:v>Август 2022</c:v>
                </c:pt>
                <c:pt idx="2">
                  <c:v>Сентябрь 2022</c:v>
                </c:pt>
                <c:pt idx="3">
                  <c:v>Октябрь 2022</c:v>
                </c:pt>
                <c:pt idx="4">
                  <c:v>Ноябрь 2022</c:v>
                </c:pt>
                <c:pt idx="5">
                  <c:v>Декабрь 2022</c:v>
                </c:pt>
                <c:pt idx="6">
                  <c:v>Январь 2023</c:v>
                </c:pt>
                <c:pt idx="7">
                  <c:v>Февраль 2023</c:v>
                </c:pt>
                <c:pt idx="8">
                  <c:v>Март 2023</c:v>
                </c:pt>
                <c:pt idx="9">
                  <c:v>Апрель 2023</c:v>
                </c:pt>
              </c:strCache>
            </c:strRef>
          </c:cat>
          <c:val>
            <c:numRef>
              <c:f>'Результат запроса'!$Q$3:$Q$13</c:f>
              <c:numCache>
                <c:formatCode>#,##0</c:formatCode>
                <c:ptCount val="10"/>
                <c:pt idx="0">
                  <c:v>49413</c:v>
                </c:pt>
                <c:pt idx="1">
                  <c:v>78771</c:v>
                </c:pt>
                <c:pt idx="2">
                  <c:v>73210</c:v>
                </c:pt>
                <c:pt idx="3">
                  <c:v>76513</c:v>
                </c:pt>
                <c:pt idx="4">
                  <c:v>79819</c:v>
                </c:pt>
                <c:pt idx="5">
                  <c:v>63080</c:v>
                </c:pt>
                <c:pt idx="6">
                  <c:v>126738</c:v>
                </c:pt>
                <c:pt idx="7">
                  <c:v>124512</c:v>
                </c:pt>
                <c:pt idx="8">
                  <c:v>219188</c:v>
                </c:pt>
                <c:pt idx="9">
                  <c:v>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F-40E1-8C40-2CD5BB3872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3098992"/>
        <c:axId val="1623110032"/>
      </c:lineChart>
      <c:catAx>
        <c:axId val="1623098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3110032"/>
        <c:crosses val="autoZero"/>
        <c:auto val="1"/>
        <c:lblAlgn val="ctr"/>
        <c:lblOffset val="100"/>
        <c:noMultiLvlLbl val="0"/>
      </c:catAx>
      <c:valAx>
        <c:axId val="162311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Выручка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2309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[Динамика клиентских выплат по типу продукта.xlsx]Результат запроса!Сводная таблица12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Структура выручки по типу продукта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C000">
                <a:alpha val="50000"/>
              </a:srgbClr>
            </a:solidFill>
            <a:ln>
              <a:solidFill>
                <a:schemeClr val="tx1">
                  <a:alpha val="75000"/>
                </a:scheme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>
                        <a:alpha val="50000"/>
                      </a:schemeClr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'Результат запроса'!$F$44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rgbClr val="FFC000">
                  <a:alpha val="50000"/>
                </a:srgbClr>
              </a:solidFill>
              <a:ln>
                <a:solidFill>
                  <a:schemeClr val="tx1">
                    <a:alpha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tx1">
                          <a:alpha val="5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'Результат запроса'!$E$45:$E$50</c:f>
              <c:strCache>
                <c:ptCount val="5"/>
                <c:pt idx="0">
                  <c:v>Ammo</c:v>
                </c:pt>
                <c:pt idx="1">
                  <c:v>Currency</c:v>
                </c:pt>
                <c:pt idx="2">
                  <c:v>Materials</c:v>
                </c:pt>
                <c:pt idx="3">
                  <c:v>Transport</c:v>
                </c:pt>
                <c:pt idx="4">
                  <c:v>Weapon</c:v>
                </c:pt>
              </c:strCache>
            </c:strRef>
          </c:cat>
          <c:val>
            <c:numRef>
              <c:f>'Результат запроса'!$F$45:$F$50</c:f>
              <c:numCache>
                <c:formatCode>0.00%</c:formatCode>
                <c:ptCount val="5"/>
                <c:pt idx="0">
                  <c:v>0.2268708352091369</c:v>
                </c:pt>
                <c:pt idx="1">
                  <c:v>0.40658295513077902</c:v>
                </c:pt>
                <c:pt idx="2">
                  <c:v>0.23990006529824262</c:v>
                </c:pt>
                <c:pt idx="3">
                  <c:v>0.10861510944553275</c:v>
                </c:pt>
                <c:pt idx="4">
                  <c:v>1.8031034916308742E-2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9-4ED4-B484-4E31733899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14</xdr:row>
      <xdr:rowOff>19050</xdr:rowOff>
    </xdr:from>
    <xdr:to>
      <xdr:col>13</xdr:col>
      <xdr:colOff>647700</xdr:colOff>
      <xdr:row>41</xdr:row>
      <xdr:rowOff>167640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8D59DFD-0089-74F3-53E7-CB3AFDC01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14</xdr:row>
      <xdr:rowOff>3810</xdr:rowOff>
    </xdr:from>
    <xdr:to>
      <xdr:col>24</xdr:col>
      <xdr:colOff>563880</xdr:colOff>
      <xdr:row>41</xdr:row>
      <xdr:rowOff>114300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63113EF-6A40-25FE-3484-E42066939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</xdr:colOff>
      <xdr:row>50</xdr:row>
      <xdr:rowOff>26670</xdr:rowOff>
    </xdr:from>
    <xdr:to>
      <xdr:col>12</xdr:col>
      <xdr:colOff>0</xdr:colOff>
      <xdr:row>72</xdr:row>
      <xdr:rowOff>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254F16B8-498D-E263-0BE7-302B0DBAB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192.563237152775" createdVersion="8" refreshedVersion="8" minRefreshableVersion="3" recordCount="50" xr:uid="{85B8CDA5-C5F1-4F61-9ECC-605B928C7C25}">
  <cacheSource type="worksheet">
    <worksheetSource ref="A1:C51" sheet="Результат запроса"/>
  </cacheSource>
  <cacheFields count="6">
    <cacheField name="Месяц" numFmtId="168">
      <sharedItems containsSemiMixedTypes="0" containsNonDate="0" containsDate="1" containsString="0" minDate="2022-07-01T00:00:00" maxDate="2023-04-02T00:00:00" count="10"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</sharedItems>
      <fieldGroup par="5"/>
    </cacheField>
    <cacheField name="Тип продукта" numFmtId="0">
      <sharedItems count="5">
        <s v="Ammo"/>
        <s v="Currency"/>
        <s v="Materials"/>
        <s v="Transport"/>
        <s v="Weapon"/>
      </sharedItems>
    </cacheField>
    <cacheField name="Выручка" numFmtId="3">
      <sharedItems containsSemiMixedTypes="0" containsString="0" containsNumber="1" containsInteger="1" minValue="599" maxValue="106440"/>
    </cacheField>
    <cacheField name="Месяцы (Месяц)" numFmtId="0" databaseField="0">
      <fieldGroup base="0">
        <rangePr groupBy="months" startDate="2022-07-01T00:00:00" endDate="2023-04-02T00:00:00"/>
        <groupItems count="14">
          <s v="&lt;01.07.2022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4.2023"/>
        </groupItems>
      </fieldGroup>
    </cacheField>
    <cacheField name="Кварталы (Месяц)" numFmtId="0" databaseField="0">
      <fieldGroup base="0">
        <rangePr groupBy="quarters" startDate="2022-07-01T00:00:00" endDate="2023-04-02T00:00:00"/>
        <groupItems count="6">
          <s v="&lt;01.07.2022"/>
          <s v="Кв-л1"/>
          <s v="Кв-л2"/>
          <s v="Кв-л3"/>
          <s v="Кв-л4"/>
          <s v="&gt;02.04.2023"/>
        </groupItems>
      </fieldGroup>
    </cacheField>
    <cacheField name="Годы (Месяц)" numFmtId="0" databaseField="0">
      <fieldGroup base="0">
        <rangePr groupBy="years" startDate="2022-07-01T00:00:00" endDate="2023-04-02T00:00:00"/>
        <groupItems count="4">
          <s v="&lt;01.07.2022"/>
          <s v="2022"/>
          <s v="2023"/>
          <s v="&gt;02.04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192.577448148149" backgroundQuery="1" createdVersion="8" refreshedVersion="8" minRefreshableVersion="3" recordCount="0" supportSubquery="1" supportAdvancedDrill="1" xr:uid="{906835A5-61E2-4A3B-ADA1-02931DAC6351}">
  <cacheSource type="external" connectionId="1"/>
  <cacheFields count="2">
    <cacheField name="[Диапазон].[Тип продукта].[Тип продукта]" caption="Тип продукта" numFmtId="0" hierarchy="1" level="1">
      <sharedItems count="5">
        <s v="Ammo"/>
        <s v="Currency"/>
        <s v="Materials"/>
        <s v="Transport"/>
        <s v="Weapon"/>
      </sharedItems>
    </cacheField>
    <cacheField name="[Measures].[Сумма по столбцу Выручка]" caption="Сумма по столбцу Выручка" numFmtId="0" hierarchy="5" level="32767"/>
  </cacheFields>
  <cacheHierarchies count="6">
    <cacheHierarchy uniqueName="[Диапазон].[Месяц]" caption="Месяц" attribute="1" time="1" defaultMemberUniqueName="[Диапазон].[Месяц].[All]" allUniqueName="[Диапазон].[Месяц].[All]" dimensionUniqueName="[Диапазон]" displayFolder="" count="0" memberValueDatatype="7" unbalanced="0"/>
    <cacheHierarchy uniqueName="[Диапазон].[Тип продукта]" caption="Тип продукта" attribute="1" defaultMemberUniqueName="[Диапазон].[Тип продукта].[All]" allUniqueName="[Диапазон].[Тип продукта].[All]" dimensionUniqueName="[Диапазон]" displayFolder="" count="2" memberValueDatatype="130" unbalanced="0">
      <fieldsUsage count="2">
        <fieldUsage x="-1"/>
        <fieldUsage x="0"/>
      </fieldsUsage>
    </cacheHierarchy>
    <cacheHierarchy uniqueName="[Диапазон].[Выручка]" caption="Выручка" attribute="1" defaultMemberUniqueName="[Диапазон].[Выручка].[All]" allUniqueName="[Диапазон].[Выручка].[All]" dimensionUniqueName="[Диапазон]" displayFolder="" count="0" memberValueDatatype="20" unbalanced="0"/>
    <cacheHierarchy uniqueName="[Measures].[__XL_Count Диапазон]" caption="__XL_Count Диапазон" measure="1" displayFolder="" measureGroup="Диапазон" count="0" hidden="1"/>
    <cacheHierarchy uniqueName="[Measures].[__No measures defined]" caption="__No measures defined" measure="1" displayFolder="" count="0" hidden="1"/>
    <cacheHierarchy uniqueName="[Measures].[Сумма по столбцу Выручка]" caption="Сумма по столбцу Выручка" measure="1" displayFolder="" measureGroup="Диапазон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Диапазон" uniqueName="[Диапазон]" caption="Диапазон"/>
  </dimensions>
  <measureGroups count="1">
    <measureGroup name="Диапазон" caption="Диапазон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11500"/>
  </r>
  <r>
    <x v="1"/>
    <x v="0"/>
    <n v="14750"/>
  </r>
  <r>
    <x v="2"/>
    <x v="0"/>
    <n v="18500"/>
  </r>
  <r>
    <x v="3"/>
    <x v="0"/>
    <n v="16250"/>
  </r>
  <r>
    <x v="4"/>
    <x v="0"/>
    <n v="22250"/>
  </r>
  <r>
    <x v="5"/>
    <x v="0"/>
    <n v="11250"/>
  </r>
  <r>
    <x v="6"/>
    <x v="0"/>
    <n v="31000"/>
  </r>
  <r>
    <x v="7"/>
    <x v="0"/>
    <n v="32500"/>
  </r>
  <r>
    <x v="8"/>
    <x v="0"/>
    <n v="49000"/>
  </r>
  <r>
    <x v="9"/>
    <x v="0"/>
    <n v="16750"/>
  </r>
  <r>
    <x v="0"/>
    <x v="1"/>
    <n v="12930"/>
  </r>
  <r>
    <x v="1"/>
    <x v="1"/>
    <n v="39170"/>
  </r>
  <r>
    <x v="2"/>
    <x v="1"/>
    <n v="25580"/>
  </r>
  <r>
    <x v="3"/>
    <x v="1"/>
    <n v="31280"/>
  </r>
  <r>
    <x v="4"/>
    <x v="1"/>
    <n v="24580"/>
  </r>
  <r>
    <x v="5"/>
    <x v="1"/>
    <n v="26730"/>
  </r>
  <r>
    <x v="6"/>
    <x v="1"/>
    <n v="49300"/>
  </r>
  <r>
    <x v="7"/>
    <x v="1"/>
    <n v="45180"/>
  </r>
  <r>
    <x v="8"/>
    <x v="1"/>
    <n v="106440"/>
  </r>
  <r>
    <x v="9"/>
    <x v="1"/>
    <n v="39800"/>
  </r>
  <r>
    <x v="0"/>
    <x v="2"/>
    <n v="14700"/>
  </r>
  <r>
    <x v="1"/>
    <x v="2"/>
    <n v="11900"/>
  </r>
  <r>
    <x v="2"/>
    <x v="2"/>
    <n v="21800"/>
  </r>
  <r>
    <x v="3"/>
    <x v="2"/>
    <n v="18800"/>
  </r>
  <r>
    <x v="4"/>
    <x v="2"/>
    <n v="20400"/>
  </r>
  <r>
    <x v="5"/>
    <x v="2"/>
    <n v="18800"/>
  </r>
  <r>
    <x v="6"/>
    <x v="2"/>
    <n v="27000"/>
  </r>
  <r>
    <x v="7"/>
    <x v="2"/>
    <n v="30200"/>
  </r>
  <r>
    <x v="8"/>
    <x v="2"/>
    <n v="46500"/>
  </r>
  <r>
    <x v="9"/>
    <x v="2"/>
    <n v="26500"/>
  </r>
  <r>
    <x v="0"/>
    <x v="3"/>
    <n v="9485"/>
  </r>
  <r>
    <x v="1"/>
    <x v="3"/>
    <n v="11681"/>
  </r>
  <r>
    <x v="2"/>
    <x v="3"/>
    <n v="5291"/>
  </r>
  <r>
    <x v="3"/>
    <x v="3"/>
    <n v="9584"/>
  </r>
  <r>
    <x v="4"/>
    <x v="3"/>
    <n v="10782"/>
  </r>
  <r>
    <x v="5"/>
    <x v="3"/>
    <n v="5691"/>
  </r>
  <r>
    <x v="6"/>
    <x v="3"/>
    <n v="15374"/>
  </r>
  <r>
    <x v="7"/>
    <x v="3"/>
    <n v="15374"/>
  </r>
  <r>
    <x v="8"/>
    <x v="3"/>
    <n v="13578"/>
  </r>
  <r>
    <x v="9"/>
    <x v="3"/>
    <n v="10281"/>
  </r>
  <r>
    <x v="0"/>
    <x v="4"/>
    <n v="798"/>
  </r>
  <r>
    <x v="1"/>
    <x v="4"/>
    <n v="1270"/>
  </r>
  <r>
    <x v="2"/>
    <x v="4"/>
    <n v="2039"/>
  </r>
  <r>
    <x v="3"/>
    <x v="4"/>
    <n v="599"/>
  </r>
  <r>
    <x v="4"/>
    <x v="4"/>
    <n v="1807"/>
  </r>
  <r>
    <x v="5"/>
    <x v="4"/>
    <n v="609"/>
  </r>
  <r>
    <x v="6"/>
    <x v="4"/>
    <n v="4064"/>
  </r>
  <r>
    <x v="7"/>
    <x v="4"/>
    <n v="1258"/>
  </r>
  <r>
    <x v="8"/>
    <x v="4"/>
    <n v="3670"/>
  </r>
  <r>
    <x v="9"/>
    <x v="4"/>
    <n v="16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21C7C-7F86-4C3F-920E-47B266047629}" name="Сводная таблица12" cacheId="43" applyNumberFormats="0" applyBorderFormats="0" applyFontFormats="0" applyPatternFormats="0" applyAlignmentFormats="0" applyWidthHeightFormats="1" dataCaption="Значения" tag="3dfe1f87-ccdb-4d81-bf76-e819acf11316" updatedVersion="8" minRefreshableVersion="3" useAutoFormatting="1" itemPrintTitles="1" createdVersion="8" indent="0" outline="1" outlineData="1" multipleFieldFilters="0" chartFormat="8" rowHeaderCaption="Тип продукта">
  <location ref="E44:F50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Доля от общей суммы выручки" fld="1" showDataAs="percentOfTotal" baseField="0" baseItem="3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Результат запроса!$A$1:$C$51">
        <x15:activeTabTopLevelEntity name="[Диапазон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5CBC8-9E82-4597-9EC3-EBC074AF654C}" name="Сводная таблица10" cacheId="1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9" rowHeaderCaption="Месяц">
  <location ref="P2:Q13" firstHeaderRow="1" firstDataRow="1" firstDataCol="1"/>
  <pivotFields count="6">
    <pivotField axis="axisRow" numFmtId="16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numFmtId="3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Сумма по полю Выручка" fld="2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40286-0119-41A1-B7B3-DB066438323C}" name="Сводная таблица9" cacheId="1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3">
  <location ref="E2:K14" firstHeaderRow="1" firstDataRow="2" firstDataCol="1"/>
  <pivotFields count="6">
    <pivotField axis="axisRow" numFmtId="168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numFmtId="3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Выручка" fld="2" baseField="0" baseItem="0" numFmtId="3"/>
  </dataFields>
  <chartFormats count="16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pane ySplit="1" topLeftCell="A38" activePane="bottomLeft" state="frozen"/>
      <selection pane="bottomLeft" activeCell="O21" sqref="O21"/>
    </sheetView>
  </sheetViews>
  <sheetFormatPr defaultRowHeight="14.4" x14ac:dyDescent="0.3"/>
  <cols>
    <col min="1" max="1" width="28.88671875" style="2" customWidth="1"/>
    <col min="2" max="2" width="13" style="2" customWidth="1"/>
    <col min="3" max="3" width="11.6640625" style="2" customWidth="1"/>
    <col min="5" max="5" width="22.21875" bestFit="1" customWidth="1"/>
    <col min="6" max="6" width="27.88671875" bestFit="1" customWidth="1"/>
    <col min="7" max="7" width="8.44140625" bestFit="1" customWidth="1"/>
    <col min="8" max="8" width="8.77734375" bestFit="1" customWidth="1"/>
    <col min="9" max="9" width="8.88671875" bestFit="1" customWidth="1"/>
    <col min="10" max="10" width="7.77734375" bestFit="1" customWidth="1"/>
    <col min="11" max="11" width="11" bestFit="1" customWidth="1"/>
    <col min="12" max="12" width="11.5546875" bestFit="1" customWidth="1"/>
    <col min="13" max="13" width="12.77734375" bestFit="1" customWidth="1"/>
    <col min="14" max="14" width="9.6640625" bestFit="1" customWidth="1"/>
    <col min="15" max="15" width="11.5546875" bestFit="1" customWidth="1"/>
    <col min="16" max="16" width="17" bestFit="1" customWidth="1"/>
    <col min="17" max="17" width="22.21875" bestFit="1" customWidth="1"/>
  </cols>
  <sheetData>
    <row r="1" spans="1:17" x14ac:dyDescent="0.3">
      <c r="A1" s="2" t="s">
        <v>5</v>
      </c>
      <c r="B1" s="2" t="s">
        <v>6</v>
      </c>
      <c r="C1" s="2" t="s">
        <v>7</v>
      </c>
    </row>
    <row r="2" spans="1:17" x14ac:dyDescent="0.3">
      <c r="A2" s="3">
        <v>44743</v>
      </c>
      <c r="B2" s="2" t="s">
        <v>0</v>
      </c>
      <c r="C2" s="4">
        <v>11500</v>
      </c>
      <c r="E2" s="5" t="s">
        <v>8</v>
      </c>
      <c r="F2" s="5" t="s">
        <v>11</v>
      </c>
      <c r="P2" s="5" t="s">
        <v>5</v>
      </c>
      <c r="Q2" t="s">
        <v>8</v>
      </c>
    </row>
    <row r="3" spans="1:17" x14ac:dyDescent="0.3">
      <c r="A3" s="3">
        <v>44774</v>
      </c>
      <c r="B3" s="2" t="s">
        <v>0</v>
      </c>
      <c r="C3" s="4">
        <v>14750</v>
      </c>
      <c r="E3" s="5" t="s">
        <v>9</v>
      </c>
      <c r="F3" t="s">
        <v>0</v>
      </c>
      <c r="G3" t="s">
        <v>1</v>
      </c>
      <c r="H3" t="s">
        <v>2</v>
      </c>
      <c r="I3" t="s">
        <v>3</v>
      </c>
      <c r="J3" t="s">
        <v>4</v>
      </c>
      <c r="K3" t="s">
        <v>10</v>
      </c>
      <c r="P3" s="7">
        <v>44743</v>
      </c>
      <c r="Q3" s="1">
        <v>49413</v>
      </c>
    </row>
    <row r="4" spans="1:17" x14ac:dyDescent="0.3">
      <c r="A4" s="3">
        <v>44805</v>
      </c>
      <c r="B4" s="2" t="s">
        <v>0</v>
      </c>
      <c r="C4" s="4">
        <v>18500</v>
      </c>
      <c r="E4" s="7">
        <v>44743</v>
      </c>
      <c r="F4" s="1">
        <v>11500</v>
      </c>
      <c r="G4" s="1">
        <v>12930</v>
      </c>
      <c r="H4" s="1">
        <v>14700</v>
      </c>
      <c r="I4" s="1">
        <v>9485</v>
      </c>
      <c r="J4" s="1">
        <v>798</v>
      </c>
      <c r="K4" s="1">
        <v>49413</v>
      </c>
      <c r="P4" s="7">
        <v>44774</v>
      </c>
      <c r="Q4" s="1">
        <v>78771</v>
      </c>
    </row>
    <row r="5" spans="1:17" x14ac:dyDescent="0.3">
      <c r="A5" s="3">
        <v>44835</v>
      </c>
      <c r="B5" s="2" t="s">
        <v>0</v>
      </c>
      <c r="C5" s="4">
        <v>16250</v>
      </c>
      <c r="E5" s="7">
        <v>44774</v>
      </c>
      <c r="F5" s="1">
        <v>14750</v>
      </c>
      <c r="G5" s="1">
        <v>39170</v>
      </c>
      <c r="H5" s="1">
        <v>11900</v>
      </c>
      <c r="I5" s="1">
        <v>11681</v>
      </c>
      <c r="J5" s="1">
        <v>1270</v>
      </c>
      <c r="K5" s="1">
        <v>78771</v>
      </c>
      <c r="P5" s="7">
        <v>44805</v>
      </c>
      <c r="Q5" s="1">
        <v>73210</v>
      </c>
    </row>
    <row r="6" spans="1:17" x14ac:dyDescent="0.3">
      <c r="A6" s="3">
        <v>44866</v>
      </c>
      <c r="B6" s="2" t="s">
        <v>0</v>
      </c>
      <c r="C6" s="4">
        <v>22250</v>
      </c>
      <c r="E6" s="7">
        <v>44805</v>
      </c>
      <c r="F6" s="1">
        <v>18500</v>
      </c>
      <c r="G6" s="1">
        <v>25580</v>
      </c>
      <c r="H6" s="1">
        <v>21800</v>
      </c>
      <c r="I6" s="1">
        <v>5291</v>
      </c>
      <c r="J6" s="1">
        <v>2039</v>
      </c>
      <c r="K6" s="1">
        <v>73210</v>
      </c>
      <c r="P6" s="7">
        <v>44835</v>
      </c>
      <c r="Q6" s="1">
        <v>76513</v>
      </c>
    </row>
    <row r="7" spans="1:17" x14ac:dyDescent="0.3">
      <c r="A7" s="3">
        <v>44896</v>
      </c>
      <c r="B7" s="2" t="s">
        <v>0</v>
      </c>
      <c r="C7" s="4">
        <v>11250</v>
      </c>
      <c r="E7" s="7">
        <v>44835</v>
      </c>
      <c r="F7" s="1">
        <v>16250</v>
      </c>
      <c r="G7" s="1">
        <v>31280</v>
      </c>
      <c r="H7" s="1">
        <v>18800</v>
      </c>
      <c r="I7" s="1">
        <v>9584</v>
      </c>
      <c r="J7" s="1">
        <v>599</v>
      </c>
      <c r="K7" s="1">
        <v>76513</v>
      </c>
      <c r="P7" s="7">
        <v>44866</v>
      </c>
      <c r="Q7" s="1">
        <v>79819</v>
      </c>
    </row>
    <row r="8" spans="1:17" x14ac:dyDescent="0.3">
      <c r="A8" s="3">
        <v>44927</v>
      </c>
      <c r="B8" s="2" t="s">
        <v>0</v>
      </c>
      <c r="C8" s="4">
        <v>31000</v>
      </c>
      <c r="E8" s="7">
        <v>44866</v>
      </c>
      <c r="F8" s="1">
        <v>22250</v>
      </c>
      <c r="G8" s="1">
        <v>24580</v>
      </c>
      <c r="H8" s="1">
        <v>20400</v>
      </c>
      <c r="I8" s="1">
        <v>10782</v>
      </c>
      <c r="J8" s="1">
        <v>1807</v>
      </c>
      <c r="K8" s="1">
        <v>79819</v>
      </c>
      <c r="P8" s="7">
        <v>44896</v>
      </c>
      <c r="Q8" s="1">
        <v>63080</v>
      </c>
    </row>
    <row r="9" spans="1:17" x14ac:dyDescent="0.3">
      <c r="A9" s="3">
        <v>44958</v>
      </c>
      <c r="B9" s="2" t="s">
        <v>0</v>
      </c>
      <c r="C9" s="4">
        <v>32500</v>
      </c>
      <c r="E9" s="7">
        <v>44896</v>
      </c>
      <c r="F9" s="1">
        <v>11250</v>
      </c>
      <c r="G9" s="1">
        <v>26730</v>
      </c>
      <c r="H9" s="1">
        <v>18800</v>
      </c>
      <c r="I9" s="1">
        <v>5691</v>
      </c>
      <c r="J9" s="1">
        <v>609</v>
      </c>
      <c r="K9" s="1">
        <v>63080</v>
      </c>
      <c r="P9" s="7">
        <v>44927</v>
      </c>
      <c r="Q9" s="1">
        <v>126738</v>
      </c>
    </row>
    <row r="10" spans="1:17" x14ac:dyDescent="0.3">
      <c r="A10" s="3">
        <v>44986</v>
      </c>
      <c r="B10" s="2" t="s">
        <v>0</v>
      </c>
      <c r="C10" s="4">
        <v>49000</v>
      </c>
      <c r="E10" s="7">
        <v>44927</v>
      </c>
      <c r="F10" s="1">
        <v>31000</v>
      </c>
      <c r="G10" s="1">
        <v>49300</v>
      </c>
      <c r="H10" s="1">
        <v>27000</v>
      </c>
      <c r="I10" s="1">
        <v>15374</v>
      </c>
      <c r="J10" s="1">
        <v>4064</v>
      </c>
      <c r="K10" s="1">
        <v>126738</v>
      </c>
      <c r="P10" s="7">
        <v>44958</v>
      </c>
      <c r="Q10" s="1">
        <v>124512</v>
      </c>
    </row>
    <row r="11" spans="1:17" x14ac:dyDescent="0.3">
      <c r="A11" s="3">
        <v>45017</v>
      </c>
      <c r="B11" s="2" t="s">
        <v>0</v>
      </c>
      <c r="C11" s="4">
        <v>16750</v>
      </c>
      <c r="E11" s="7">
        <v>44958</v>
      </c>
      <c r="F11" s="1">
        <v>32500</v>
      </c>
      <c r="G11" s="1">
        <v>45180</v>
      </c>
      <c r="H11" s="1">
        <v>30200</v>
      </c>
      <c r="I11" s="1">
        <v>15374</v>
      </c>
      <c r="J11" s="1">
        <v>1258</v>
      </c>
      <c r="K11" s="1">
        <v>124512</v>
      </c>
      <c r="P11" s="7">
        <v>44986</v>
      </c>
      <c r="Q11" s="1">
        <v>219188</v>
      </c>
    </row>
    <row r="12" spans="1:17" x14ac:dyDescent="0.3">
      <c r="A12" s="3">
        <v>44743</v>
      </c>
      <c r="B12" s="2" t="s">
        <v>1</v>
      </c>
      <c r="C12" s="4">
        <v>12930</v>
      </c>
      <c r="E12" s="7">
        <v>44986</v>
      </c>
      <c r="F12" s="1">
        <v>49000</v>
      </c>
      <c r="G12" s="1">
        <v>106440</v>
      </c>
      <c r="H12" s="1">
        <v>46500</v>
      </c>
      <c r="I12" s="1">
        <v>13578</v>
      </c>
      <c r="J12" s="1">
        <v>3670</v>
      </c>
      <c r="K12" s="1">
        <v>219188</v>
      </c>
      <c r="P12" s="7">
        <v>45017</v>
      </c>
      <c r="Q12" s="1">
        <v>95000</v>
      </c>
    </row>
    <row r="13" spans="1:17" x14ac:dyDescent="0.3">
      <c r="A13" s="3">
        <v>44774</v>
      </c>
      <c r="B13" s="2" t="s">
        <v>1</v>
      </c>
      <c r="C13" s="4">
        <v>39170</v>
      </c>
      <c r="E13" s="7">
        <v>45017</v>
      </c>
      <c r="F13" s="1">
        <v>16750</v>
      </c>
      <c r="G13" s="1">
        <v>39800</v>
      </c>
      <c r="H13" s="1">
        <v>26500</v>
      </c>
      <c r="I13" s="1">
        <v>10281</v>
      </c>
      <c r="J13" s="1">
        <v>1669</v>
      </c>
      <c r="K13" s="1">
        <v>95000</v>
      </c>
      <c r="P13" s="7" t="s">
        <v>10</v>
      </c>
      <c r="Q13" s="1">
        <v>986244</v>
      </c>
    </row>
    <row r="14" spans="1:17" x14ac:dyDescent="0.3">
      <c r="A14" s="3">
        <v>44805</v>
      </c>
      <c r="B14" s="2" t="s">
        <v>1</v>
      </c>
      <c r="C14" s="4">
        <v>25580</v>
      </c>
      <c r="E14" s="7" t="s">
        <v>10</v>
      </c>
      <c r="F14" s="1">
        <v>223750</v>
      </c>
      <c r="G14" s="1">
        <v>400990</v>
      </c>
      <c r="H14" s="1">
        <v>236600</v>
      </c>
      <c r="I14" s="1">
        <v>107121</v>
      </c>
      <c r="J14" s="1">
        <v>17783</v>
      </c>
      <c r="K14" s="1">
        <v>986244</v>
      </c>
    </row>
    <row r="15" spans="1:17" x14ac:dyDescent="0.3">
      <c r="A15" s="3">
        <v>44835</v>
      </c>
      <c r="B15" s="2" t="s">
        <v>1</v>
      </c>
      <c r="C15" s="4">
        <v>31280</v>
      </c>
    </row>
    <row r="16" spans="1:17" x14ac:dyDescent="0.3">
      <c r="A16" s="3">
        <v>44866</v>
      </c>
      <c r="B16" s="2" t="s">
        <v>1</v>
      </c>
      <c r="C16" s="4">
        <v>24580</v>
      </c>
    </row>
    <row r="17" spans="1:3" x14ac:dyDescent="0.3">
      <c r="A17" s="3">
        <v>44896</v>
      </c>
      <c r="B17" s="2" t="s">
        <v>1</v>
      </c>
      <c r="C17" s="4">
        <v>26730</v>
      </c>
    </row>
    <row r="18" spans="1:3" x14ac:dyDescent="0.3">
      <c r="A18" s="3">
        <v>44927</v>
      </c>
      <c r="B18" s="2" t="s">
        <v>1</v>
      </c>
      <c r="C18" s="4">
        <v>49300</v>
      </c>
    </row>
    <row r="19" spans="1:3" x14ac:dyDescent="0.3">
      <c r="A19" s="3">
        <v>44958</v>
      </c>
      <c r="B19" s="2" t="s">
        <v>1</v>
      </c>
      <c r="C19" s="4">
        <v>45180</v>
      </c>
    </row>
    <row r="20" spans="1:3" x14ac:dyDescent="0.3">
      <c r="A20" s="3">
        <v>44986</v>
      </c>
      <c r="B20" s="2" t="s">
        <v>1</v>
      </c>
      <c r="C20" s="4">
        <v>106440</v>
      </c>
    </row>
    <row r="21" spans="1:3" x14ac:dyDescent="0.3">
      <c r="A21" s="3">
        <v>45017</v>
      </c>
      <c r="B21" s="2" t="s">
        <v>1</v>
      </c>
      <c r="C21" s="4">
        <v>39800</v>
      </c>
    </row>
    <row r="22" spans="1:3" x14ac:dyDescent="0.3">
      <c r="A22" s="3">
        <v>44743</v>
      </c>
      <c r="B22" s="2" t="s">
        <v>2</v>
      </c>
      <c r="C22" s="4">
        <v>14700</v>
      </c>
    </row>
    <row r="23" spans="1:3" x14ac:dyDescent="0.3">
      <c r="A23" s="3">
        <v>44774</v>
      </c>
      <c r="B23" s="2" t="s">
        <v>2</v>
      </c>
      <c r="C23" s="4">
        <v>11900</v>
      </c>
    </row>
    <row r="24" spans="1:3" x14ac:dyDescent="0.3">
      <c r="A24" s="3">
        <v>44805</v>
      </c>
      <c r="B24" s="2" t="s">
        <v>2</v>
      </c>
      <c r="C24" s="4">
        <v>21800</v>
      </c>
    </row>
    <row r="25" spans="1:3" x14ac:dyDescent="0.3">
      <c r="A25" s="3">
        <v>44835</v>
      </c>
      <c r="B25" s="2" t="s">
        <v>2</v>
      </c>
      <c r="C25" s="4">
        <v>18800</v>
      </c>
    </row>
    <row r="26" spans="1:3" x14ac:dyDescent="0.3">
      <c r="A26" s="3">
        <v>44866</v>
      </c>
      <c r="B26" s="2" t="s">
        <v>2</v>
      </c>
      <c r="C26" s="4">
        <v>20400</v>
      </c>
    </row>
    <row r="27" spans="1:3" x14ac:dyDescent="0.3">
      <c r="A27" s="3">
        <v>44896</v>
      </c>
      <c r="B27" s="2" t="s">
        <v>2</v>
      </c>
      <c r="C27" s="4">
        <v>18800</v>
      </c>
    </row>
    <row r="28" spans="1:3" x14ac:dyDescent="0.3">
      <c r="A28" s="3">
        <v>44927</v>
      </c>
      <c r="B28" s="2" t="s">
        <v>2</v>
      </c>
      <c r="C28" s="4">
        <v>27000</v>
      </c>
    </row>
    <row r="29" spans="1:3" x14ac:dyDescent="0.3">
      <c r="A29" s="3">
        <v>44958</v>
      </c>
      <c r="B29" s="2" t="s">
        <v>2</v>
      </c>
      <c r="C29" s="4">
        <v>30200</v>
      </c>
    </row>
    <row r="30" spans="1:3" x14ac:dyDescent="0.3">
      <c r="A30" s="3">
        <v>44986</v>
      </c>
      <c r="B30" s="2" t="s">
        <v>2</v>
      </c>
      <c r="C30" s="4">
        <v>46500</v>
      </c>
    </row>
    <row r="31" spans="1:3" x14ac:dyDescent="0.3">
      <c r="A31" s="3">
        <v>45017</v>
      </c>
      <c r="B31" s="2" t="s">
        <v>2</v>
      </c>
      <c r="C31" s="4">
        <v>26500</v>
      </c>
    </row>
    <row r="32" spans="1:3" x14ac:dyDescent="0.3">
      <c r="A32" s="3">
        <v>44743</v>
      </c>
      <c r="B32" s="2" t="s">
        <v>3</v>
      </c>
      <c r="C32" s="4">
        <v>9485</v>
      </c>
    </row>
    <row r="33" spans="1:6" x14ac:dyDescent="0.3">
      <c r="A33" s="3">
        <v>44774</v>
      </c>
      <c r="B33" s="2" t="s">
        <v>3</v>
      </c>
      <c r="C33" s="4">
        <v>11681</v>
      </c>
    </row>
    <row r="34" spans="1:6" x14ac:dyDescent="0.3">
      <c r="A34" s="3">
        <v>44805</v>
      </c>
      <c r="B34" s="2" t="s">
        <v>3</v>
      </c>
      <c r="C34" s="4">
        <v>5291</v>
      </c>
    </row>
    <row r="35" spans="1:6" x14ac:dyDescent="0.3">
      <c r="A35" s="3">
        <v>44835</v>
      </c>
      <c r="B35" s="2" t="s">
        <v>3</v>
      </c>
      <c r="C35" s="4">
        <v>9584</v>
      </c>
    </row>
    <row r="36" spans="1:6" x14ac:dyDescent="0.3">
      <c r="A36" s="3">
        <v>44866</v>
      </c>
      <c r="B36" s="2" t="s">
        <v>3</v>
      </c>
      <c r="C36" s="4">
        <v>10782</v>
      </c>
    </row>
    <row r="37" spans="1:6" x14ac:dyDescent="0.3">
      <c r="A37" s="3">
        <v>44896</v>
      </c>
      <c r="B37" s="2" t="s">
        <v>3</v>
      </c>
      <c r="C37" s="4">
        <v>5691</v>
      </c>
    </row>
    <row r="38" spans="1:6" x14ac:dyDescent="0.3">
      <c r="A38" s="3">
        <v>44927</v>
      </c>
      <c r="B38" s="2" t="s">
        <v>3</v>
      </c>
      <c r="C38" s="4">
        <v>15374</v>
      </c>
    </row>
    <row r="39" spans="1:6" x14ac:dyDescent="0.3">
      <c r="A39" s="3">
        <v>44958</v>
      </c>
      <c r="B39" s="2" t="s">
        <v>3</v>
      </c>
      <c r="C39" s="4">
        <v>15374</v>
      </c>
    </row>
    <row r="40" spans="1:6" x14ac:dyDescent="0.3">
      <c r="A40" s="3">
        <v>44986</v>
      </c>
      <c r="B40" s="2" t="s">
        <v>3</v>
      </c>
      <c r="C40" s="4">
        <v>13578</v>
      </c>
    </row>
    <row r="41" spans="1:6" x14ac:dyDescent="0.3">
      <c r="A41" s="3">
        <v>45017</v>
      </c>
      <c r="B41" s="2" t="s">
        <v>3</v>
      </c>
      <c r="C41" s="4">
        <v>10281</v>
      </c>
    </row>
    <row r="42" spans="1:6" x14ac:dyDescent="0.3">
      <c r="A42" s="3">
        <v>44743</v>
      </c>
      <c r="B42" s="2" t="s">
        <v>4</v>
      </c>
      <c r="C42" s="4">
        <v>798</v>
      </c>
    </row>
    <row r="43" spans="1:6" x14ac:dyDescent="0.3">
      <c r="A43" s="3">
        <v>44774</v>
      </c>
      <c r="B43" s="2" t="s">
        <v>4</v>
      </c>
      <c r="C43" s="4">
        <v>1270</v>
      </c>
    </row>
    <row r="44" spans="1:6" x14ac:dyDescent="0.3">
      <c r="A44" s="3">
        <v>44805</v>
      </c>
      <c r="B44" s="2" t="s">
        <v>4</v>
      </c>
      <c r="C44" s="4">
        <v>2039</v>
      </c>
      <c r="E44" s="5" t="s">
        <v>6</v>
      </c>
      <c r="F44" t="s">
        <v>12</v>
      </c>
    </row>
    <row r="45" spans="1:6" x14ac:dyDescent="0.3">
      <c r="A45" s="3">
        <v>44835</v>
      </c>
      <c r="B45" s="2" t="s">
        <v>4</v>
      </c>
      <c r="C45" s="4">
        <v>599</v>
      </c>
      <c r="E45" s="6" t="s">
        <v>0</v>
      </c>
      <c r="F45" s="8">
        <v>0.2268708352091369</v>
      </c>
    </row>
    <row r="46" spans="1:6" x14ac:dyDescent="0.3">
      <c r="A46" s="3">
        <v>44866</v>
      </c>
      <c r="B46" s="2" t="s">
        <v>4</v>
      </c>
      <c r="C46" s="4">
        <v>1807</v>
      </c>
      <c r="E46" s="6" t="s">
        <v>1</v>
      </c>
      <c r="F46" s="8">
        <v>0.40658295513077902</v>
      </c>
    </row>
    <row r="47" spans="1:6" x14ac:dyDescent="0.3">
      <c r="A47" s="3">
        <v>44896</v>
      </c>
      <c r="B47" s="2" t="s">
        <v>4</v>
      </c>
      <c r="C47" s="4">
        <v>609</v>
      </c>
      <c r="E47" s="6" t="s">
        <v>2</v>
      </c>
      <c r="F47" s="8">
        <v>0.23990006529824262</v>
      </c>
    </row>
    <row r="48" spans="1:6" x14ac:dyDescent="0.3">
      <c r="A48" s="3">
        <v>44927</v>
      </c>
      <c r="B48" s="2" t="s">
        <v>4</v>
      </c>
      <c r="C48" s="4">
        <v>4064</v>
      </c>
      <c r="E48" s="6" t="s">
        <v>3</v>
      </c>
      <c r="F48" s="8">
        <v>0.10861510944553275</v>
      </c>
    </row>
    <row r="49" spans="1:6" x14ac:dyDescent="0.3">
      <c r="A49" s="3">
        <v>44958</v>
      </c>
      <c r="B49" s="2" t="s">
        <v>4</v>
      </c>
      <c r="C49" s="4">
        <v>1258</v>
      </c>
      <c r="E49" s="6" t="s">
        <v>4</v>
      </c>
      <c r="F49" s="8">
        <v>1.8031034916308742E-2</v>
      </c>
    </row>
    <row r="50" spans="1:6" x14ac:dyDescent="0.3">
      <c r="A50" s="3">
        <v>44986</v>
      </c>
      <c r="B50" s="2" t="s">
        <v>4</v>
      </c>
      <c r="C50" s="4">
        <v>3670</v>
      </c>
      <c r="E50" s="6" t="s">
        <v>10</v>
      </c>
      <c r="F50" s="8">
        <v>1</v>
      </c>
    </row>
    <row r="51" spans="1:6" x14ac:dyDescent="0.3">
      <c r="A51" s="3">
        <v>45017</v>
      </c>
      <c r="B51" s="2" t="s">
        <v>4</v>
      </c>
      <c r="C51" s="4">
        <v>1669</v>
      </c>
    </row>
  </sheetData>
  <autoFilter ref="A1:C1" xr:uid="{00000000-0009-0000-0000-000000000000}"/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C9E48974-EF6D-411F-A73F-5197CC272EB7}">
  <ds:schemaRefs/>
</ds:datastoreItem>
</file>

<file path=customXml/itemProps2.xml><?xml version="1.0" encoding="utf-8"?>
<ds:datastoreItem xmlns:ds="http://schemas.openxmlformats.org/officeDocument/2006/customXml" ds:itemID="{DBC1B6E3-FB70-4FA9-93BE-518275111423}">
  <ds:schemaRefs/>
</ds:datastoreItem>
</file>

<file path=customXml/itemProps3.xml><?xml version="1.0" encoding="utf-8"?>
<ds:datastoreItem xmlns:ds="http://schemas.openxmlformats.org/officeDocument/2006/customXml" ds:itemID="{68AEC544-F36E-4725-99D0-9D509FBF773B}">
  <ds:schemaRefs/>
</ds:datastoreItem>
</file>

<file path=customXml/itemProps4.xml><?xml version="1.0" encoding="utf-8"?>
<ds:datastoreItem xmlns:ds="http://schemas.openxmlformats.org/officeDocument/2006/customXml" ds:itemID="{86C97987-1E6A-45D5-9FDD-1BA3B0A60514}">
  <ds:schemaRefs/>
</ds:datastoreItem>
</file>

<file path=customXml/itemProps5.xml><?xml version="1.0" encoding="utf-8"?>
<ds:datastoreItem xmlns:ds="http://schemas.openxmlformats.org/officeDocument/2006/customXml" ds:itemID="{AC30449F-E865-40CD-A9CD-76939DA04D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2026-06-18T09:19:52Z</dcterms:created>
  <dcterms:modified xsi:type="dcterms:W3CDTF">2026-06-19T10:11:30Z</dcterms:modified>
</cp:coreProperties>
</file>