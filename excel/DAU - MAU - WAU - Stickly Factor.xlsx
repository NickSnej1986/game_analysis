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Мои Файлы\SkyPro Data Аналитик\SQL\Курсовой проект\Маркетинговый анализ игры\"/>
    </mc:Choice>
  </mc:AlternateContent>
  <xr:revisionPtr revIDLastSave="0" documentId="13_ncr:1_{A91A0F7F-9BFF-4EFA-9CD6-129487A75DC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U" sheetId="1" r:id="rId1"/>
    <sheet name="WAU" sheetId="2" r:id="rId2"/>
    <sheet name="MAU" sheetId="3" r:id="rId3"/>
  </sheets>
  <definedNames>
    <definedName name="_xlchart.v1.0" hidden="1">DAU!$C:$C</definedName>
    <definedName name="_xlchart.v1.1" hidden="1">DAU!$D$1</definedName>
    <definedName name="_xlchart.v1.2" hidden="1">DAU!$D$2:$D$304</definedName>
    <definedName name="_xlchart.v1.3" hidden="1">DAU!$E$1</definedName>
    <definedName name="_xlchart.v1.4" hidden="1">DAU!$E$2:$E$304</definedName>
    <definedName name="_xlchart.v1.5" hidden="1">DAU!$F$1</definedName>
    <definedName name="_xlchart.v1.6" hidden="1">DAU!$F$2:$F$304</definedName>
    <definedName name="_xlnm._FilterDatabase" localSheetId="0" hidden="1">DAU!$A$1:$H$304</definedName>
    <definedName name="_xlnm._FilterDatabase" localSheetId="2" hidden="1">MAU!$A$1:$C$11</definedName>
    <definedName name="_xlnm._FilterDatabase" localSheetId="1" hidden="1">WAU!$A$1:$C$45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1" l="1"/>
  <c r="H10" i="1"/>
  <c r="H11" i="1"/>
  <c r="H12" i="1"/>
  <c r="H13" i="1"/>
  <c r="H14" i="1"/>
  <c r="H21" i="1"/>
  <c r="H22" i="1"/>
  <c r="H23" i="1"/>
  <c r="H24" i="1"/>
  <c r="H25" i="1"/>
  <c r="H26" i="1"/>
  <c r="H33" i="1"/>
  <c r="H34" i="1"/>
  <c r="H35" i="1"/>
  <c r="H36" i="1"/>
  <c r="H37" i="1"/>
  <c r="H38" i="1"/>
  <c r="H45" i="1"/>
  <c r="H46" i="1"/>
  <c r="H47" i="1"/>
  <c r="H48" i="1"/>
  <c r="H49" i="1"/>
  <c r="H50" i="1"/>
  <c r="H57" i="1"/>
  <c r="H58" i="1"/>
  <c r="H59" i="1"/>
  <c r="H60" i="1"/>
  <c r="H61" i="1"/>
  <c r="H62" i="1"/>
  <c r="H69" i="1"/>
  <c r="H70" i="1"/>
  <c r="H71" i="1"/>
  <c r="H72" i="1"/>
  <c r="H73" i="1"/>
  <c r="H74" i="1"/>
  <c r="H81" i="1"/>
  <c r="H82" i="1"/>
  <c r="H83" i="1"/>
  <c r="H84" i="1"/>
  <c r="H85" i="1"/>
  <c r="H86" i="1"/>
  <c r="H93" i="1"/>
  <c r="H94" i="1"/>
  <c r="H95" i="1"/>
  <c r="H96" i="1"/>
  <c r="H97" i="1"/>
  <c r="H98" i="1"/>
  <c r="H105" i="1"/>
  <c r="H106" i="1"/>
  <c r="H107" i="1"/>
  <c r="H108" i="1"/>
  <c r="H109" i="1"/>
  <c r="H110" i="1"/>
  <c r="H117" i="1"/>
  <c r="H118" i="1"/>
  <c r="H119" i="1"/>
  <c r="H120" i="1"/>
  <c r="H121" i="1"/>
  <c r="H122" i="1"/>
  <c r="H129" i="1"/>
  <c r="H130" i="1"/>
  <c r="H131" i="1"/>
  <c r="H132" i="1"/>
  <c r="H133" i="1"/>
  <c r="H134" i="1"/>
  <c r="H141" i="1"/>
  <c r="H142" i="1"/>
  <c r="H143" i="1"/>
  <c r="H144" i="1"/>
  <c r="H145" i="1"/>
  <c r="H146" i="1"/>
  <c r="H153" i="1"/>
  <c r="H154" i="1"/>
  <c r="H155" i="1"/>
  <c r="H156" i="1"/>
  <c r="H157" i="1"/>
  <c r="H158" i="1"/>
  <c r="H165" i="1"/>
  <c r="H166" i="1"/>
  <c r="H167" i="1"/>
  <c r="H168" i="1"/>
  <c r="H169" i="1"/>
  <c r="H170" i="1"/>
  <c r="H177" i="1"/>
  <c r="H178" i="1"/>
  <c r="H179" i="1"/>
  <c r="H180" i="1"/>
  <c r="H181" i="1"/>
  <c r="H182" i="1"/>
  <c r="H189" i="1"/>
  <c r="H190" i="1"/>
  <c r="H191" i="1"/>
  <c r="H192" i="1"/>
  <c r="H193" i="1"/>
  <c r="H194" i="1"/>
  <c r="H201" i="1"/>
  <c r="H202" i="1"/>
  <c r="H203" i="1"/>
  <c r="H204" i="1"/>
  <c r="H205" i="1"/>
  <c r="H206" i="1"/>
  <c r="H213" i="1"/>
  <c r="H214" i="1"/>
  <c r="H215" i="1"/>
  <c r="H216" i="1"/>
  <c r="H217" i="1"/>
  <c r="H218" i="1"/>
  <c r="H225" i="1"/>
  <c r="H226" i="1"/>
  <c r="H227" i="1"/>
  <c r="H228" i="1"/>
  <c r="H229" i="1"/>
  <c r="H230" i="1"/>
  <c r="H237" i="1"/>
  <c r="H238" i="1"/>
  <c r="H239" i="1"/>
  <c r="H240" i="1"/>
  <c r="H241" i="1"/>
  <c r="H242" i="1"/>
  <c r="H249" i="1"/>
  <c r="H250" i="1"/>
  <c r="H251" i="1"/>
  <c r="H252" i="1"/>
  <c r="H253" i="1"/>
  <c r="H254" i="1"/>
  <c r="H261" i="1"/>
  <c r="H262" i="1"/>
  <c r="H263" i="1"/>
  <c r="H264" i="1"/>
  <c r="H265" i="1"/>
  <c r="H266" i="1"/>
  <c r="H273" i="1"/>
  <c r="H274" i="1"/>
  <c r="H275" i="1"/>
  <c r="H276" i="1"/>
  <c r="H277" i="1"/>
  <c r="H278" i="1"/>
  <c r="H285" i="1"/>
  <c r="H286" i="1"/>
  <c r="H287" i="1"/>
  <c r="H288" i="1"/>
  <c r="H289" i="1"/>
  <c r="H290" i="1"/>
  <c r="H297" i="1"/>
  <c r="H298" i="1"/>
  <c r="H299" i="1"/>
  <c r="H300" i="1"/>
  <c r="H301" i="1"/>
  <c r="H30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2" i="1"/>
  <c r="F3" i="1"/>
  <c r="H3" i="1" s="1"/>
  <c r="F4" i="1"/>
  <c r="H4" i="1" s="1"/>
  <c r="F5" i="1"/>
  <c r="H5" i="1" s="1"/>
  <c r="F6" i="1"/>
  <c r="H6" i="1" s="1"/>
  <c r="F7" i="1"/>
  <c r="H7" i="1" s="1"/>
  <c r="F8" i="1"/>
  <c r="H8" i="1" s="1"/>
  <c r="F9" i="1"/>
  <c r="F10" i="1"/>
  <c r="F11" i="1"/>
  <c r="F12" i="1"/>
  <c r="F13" i="1"/>
  <c r="F14" i="1"/>
  <c r="F15" i="1"/>
  <c r="H15" i="1" s="1"/>
  <c r="F16" i="1"/>
  <c r="H16" i="1" s="1"/>
  <c r="F17" i="1"/>
  <c r="H17" i="1" s="1"/>
  <c r="F18" i="1"/>
  <c r="H18" i="1" s="1"/>
  <c r="F19" i="1"/>
  <c r="H19" i="1" s="1"/>
  <c r="F20" i="1"/>
  <c r="H20" i="1" s="1"/>
  <c r="F21" i="1"/>
  <c r="F22" i="1"/>
  <c r="F23" i="1"/>
  <c r="F24" i="1"/>
  <c r="F25" i="1"/>
  <c r="F26" i="1"/>
  <c r="F27" i="1"/>
  <c r="H27" i="1" s="1"/>
  <c r="F28" i="1"/>
  <c r="H28" i="1" s="1"/>
  <c r="F29" i="1"/>
  <c r="H29" i="1" s="1"/>
  <c r="F30" i="1"/>
  <c r="H30" i="1" s="1"/>
  <c r="F31" i="1"/>
  <c r="H31" i="1" s="1"/>
  <c r="F32" i="1"/>
  <c r="H32" i="1" s="1"/>
  <c r="F33" i="1"/>
  <c r="F34" i="1"/>
  <c r="F35" i="1"/>
  <c r="F36" i="1"/>
  <c r="F37" i="1"/>
  <c r="F38" i="1"/>
  <c r="F39" i="1"/>
  <c r="H39" i="1" s="1"/>
  <c r="F40" i="1"/>
  <c r="H40" i="1" s="1"/>
  <c r="F41" i="1"/>
  <c r="H41" i="1" s="1"/>
  <c r="F42" i="1"/>
  <c r="H42" i="1" s="1"/>
  <c r="F43" i="1"/>
  <c r="H43" i="1" s="1"/>
  <c r="F44" i="1"/>
  <c r="H44" i="1" s="1"/>
  <c r="F45" i="1"/>
  <c r="F46" i="1"/>
  <c r="F47" i="1"/>
  <c r="F48" i="1"/>
  <c r="F49" i="1"/>
  <c r="F50" i="1"/>
  <c r="F51" i="1"/>
  <c r="H51" i="1" s="1"/>
  <c r="F52" i="1"/>
  <c r="H52" i="1" s="1"/>
  <c r="F53" i="1"/>
  <c r="H53" i="1" s="1"/>
  <c r="F54" i="1"/>
  <c r="H54" i="1" s="1"/>
  <c r="F55" i="1"/>
  <c r="H55" i="1" s="1"/>
  <c r="F56" i="1"/>
  <c r="H56" i="1" s="1"/>
  <c r="F57" i="1"/>
  <c r="F58" i="1"/>
  <c r="F59" i="1"/>
  <c r="F60" i="1"/>
  <c r="F61" i="1"/>
  <c r="F62" i="1"/>
  <c r="F63" i="1"/>
  <c r="H63" i="1" s="1"/>
  <c r="F64" i="1"/>
  <c r="H64" i="1" s="1"/>
  <c r="F65" i="1"/>
  <c r="H65" i="1" s="1"/>
  <c r="F66" i="1"/>
  <c r="H66" i="1" s="1"/>
  <c r="F67" i="1"/>
  <c r="H67" i="1" s="1"/>
  <c r="F68" i="1"/>
  <c r="H68" i="1" s="1"/>
  <c r="F69" i="1"/>
  <c r="F70" i="1"/>
  <c r="F71" i="1"/>
  <c r="F72" i="1"/>
  <c r="F73" i="1"/>
  <c r="F74" i="1"/>
  <c r="F75" i="1"/>
  <c r="H75" i="1" s="1"/>
  <c r="F76" i="1"/>
  <c r="H76" i="1" s="1"/>
  <c r="F77" i="1"/>
  <c r="H77" i="1" s="1"/>
  <c r="F78" i="1"/>
  <c r="H78" i="1" s="1"/>
  <c r="F79" i="1"/>
  <c r="H79" i="1" s="1"/>
  <c r="F80" i="1"/>
  <c r="H80" i="1" s="1"/>
  <c r="F81" i="1"/>
  <c r="F82" i="1"/>
  <c r="F83" i="1"/>
  <c r="F84" i="1"/>
  <c r="F85" i="1"/>
  <c r="F86" i="1"/>
  <c r="F87" i="1"/>
  <c r="H87" i="1" s="1"/>
  <c r="F88" i="1"/>
  <c r="H88" i="1" s="1"/>
  <c r="F89" i="1"/>
  <c r="H89" i="1" s="1"/>
  <c r="F90" i="1"/>
  <c r="H90" i="1" s="1"/>
  <c r="F91" i="1"/>
  <c r="H91" i="1" s="1"/>
  <c r="F92" i="1"/>
  <c r="H92" i="1" s="1"/>
  <c r="F93" i="1"/>
  <c r="F94" i="1"/>
  <c r="F95" i="1"/>
  <c r="F96" i="1"/>
  <c r="F97" i="1"/>
  <c r="F98" i="1"/>
  <c r="F99" i="1"/>
  <c r="H99" i="1" s="1"/>
  <c r="F100" i="1"/>
  <c r="H100" i="1" s="1"/>
  <c r="F101" i="1"/>
  <c r="H101" i="1" s="1"/>
  <c r="F102" i="1"/>
  <c r="H102" i="1" s="1"/>
  <c r="F103" i="1"/>
  <c r="H103" i="1" s="1"/>
  <c r="F104" i="1"/>
  <c r="H104" i="1" s="1"/>
  <c r="F105" i="1"/>
  <c r="F106" i="1"/>
  <c r="F107" i="1"/>
  <c r="F108" i="1"/>
  <c r="F109" i="1"/>
  <c r="F110" i="1"/>
  <c r="F111" i="1"/>
  <c r="H111" i="1" s="1"/>
  <c r="F112" i="1"/>
  <c r="H112" i="1" s="1"/>
  <c r="F113" i="1"/>
  <c r="H113" i="1" s="1"/>
  <c r="F114" i="1"/>
  <c r="H114" i="1" s="1"/>
  <c r="F115" i="1"/>
  <c r="H115" i="1" s="1"/>
  <c r="F116" i="1"/>
  <c r="H116" i="1" s="1"/>
  <c r="F117" i="1"/>
  <c r="F118" i="1"/>
  <c r="F119" i="1"/>
  <c r="F120" i="1"/>
  <c r="F121" i="1"/>
  <c r="F122" i="1"/>
  <c r="F123" i="1"/>
  <c r="H123" i="1" s="1"/>
  <c r="F124" i="1"/>
  <c r="H124" i="1" s="1"/>
  <c r="F125" i="1"/>
  <c r="H125" i="1" s="1"/>
  <c r="F126" i="1"/>
  <c r="H126" i="1" s="1"/>
  <c r="F127" i="1"/>
  <c r="H127" i="1" s="1"/>
  <c r="F128" i="1"/>
  <c r="H128" i="1" s="1"/>
  <c r="F129" i="1"/>
  <c r="F130" i="1"/>
  <c r="F131" i="1"/>
  <c r="F132" i="1"/>
  <c r="F133" i="1"/>
  <c r="F134" i="1"/>
  <c r="F135" i="1"/>
  <c r="H135" i="1" s="1"/>
  <c r="F136" i="1"/>
  <c r="H136" i="1" s="1"/>
  <c r="F137" i="1"/>
  <c r="H137" i="1" s="1"/>
  <c r="F138" i="1"/>
  <c r="H138" i="1" s="1"/>
  <c r="F139" i="1"/>
  <c r="H139" i="1" s="1"/>
  <c r="F140" i="1"/>
  <c r="H140" i="1" s="1"/>
  <c r="F141" i="1"/>
  <c r="F142" i="1"/>
  <c r="F143" i="1"/>
  <c r="F144" i="1"/>
  <c r="F145" i="1"/>
  <c r="F146" i="1"/>
  <c r="F147" i="1"/>
  <c r="H147" i="1" s="1"/>
  <c r="F148" i="1"/>
  <c r="H148" i="1" s="1"/>
  <c r="F149" i="1"/>
  <c r="H149" i="1" s="1"/>
  <c r="F150" i="1"/>
  <c r="H150" i="1" s="1"/>
  <c r="F151" i="1"/>
  <c r="H151" i="1" s="1"/>
  <c r="F152" i="1"/>
  <c r="H152" i="1" s="1"/>
  <c r="F153" i="1"/>
  <c r="F154" i="1"/>
  <c r="F155" i="1"/>
  <c r="F156" i="1"/>
  <c r="F157" i="1"/>
  <c r="F158" i="1"/>
  <c r="F159" i="1"/>
  <c r="H159" i="1" s="1"/>
  <c r="F160" i="1"/>
  <c r="H160" i="1" s="1"/>
  <c r="F161" i="1"/>
  <c r="H161" i="1" s="1"/>
  <c r="F162" i="1"/>
  <c r="H162" i="1" s="1"/>
  <c r="F163" i="1"/>
  <c r="H163" i="1" s="1"/>
  <c r="F164" i="1"/>
  <c r="H164" i="1" s="1"/>
  <c r="F165" i="1"/>
  <c r="F166" i="1"/>
  <c r="F167" i="1"/>
  <c r="F168" i="1"/>
  <c r="F169" i="1"/>
  <c r="F170" i="1"/>
  <c r="F171" i="1"/>
  <c r="H171" i="1" s="1"/>
  <c r="F172" i="1"/>
  <c r="H172" i="1" s="1"/>
  <c r="F173" i="1"/>
  <c r="H173" i="1" s="1"/>
  <c r="F174" i="1"/>
  <c r="H174" i="1" s="1"/>
  <c r="F175" i="1"/>
  <c r="H175" i="1" s="1"/>
  <c r="F176" i="1"/>
  <c r="H176" i="1" s="1"/>
  <c r="F177" i="1"/>
  <c r="F178" i="1"/>
  <c r="F179" i="1"/>
  <c r="F180" i="1"/>
  <c r="F181" i="1"/>
  <c r="F182" i="1"/>
  <c r="F183" i="1"/>
  <c r="H183" i="1" s="1"/>
  <c r="F184" i="1"/>
  <c r="H184" i="1" s="1"/>
  <c r="F185" i="1"/>
  <c r="H185" i="1" s="1"/>
  <c r="F186" i="1"/>
  <c r="H186" i="1" s="1"/>
  <c r="F187" i="1"/>
  <c r="H187" i="1" s="1"/>
  <c r="F188" i="1"/>
  <c r="H188" i="1" s="1"/>
  <c r="F189" i="1"/>
  <c r="F190" i="1"/>
  <c r="F191" i="1"/>
  <c r="F192" i="1"/>
  <c r="F193" i="1"/>
  <c r="F194" i="1"/>
  <c r="F195" i="1"/>
  <c r="H195" i="1" s="1"/>
  <c r="F196" i="1"/>
  <c r="H196" i="1" s="1"/>
  <c r="F197" i="1"/>
  <c r="H197" i="1" s="1"/>
  <c r="F198" i="1"/>
  <c r="H198" i="1" s="1"/>
  <c r="F199" i="1"/>
  <c r="H199" i="1" s="1"/>
  <c r="F200" i="1"/>
  <c r="H200" i="1" s="1"/>
  <c r="F201" i="1"/>
  <c r="F202" i="1"/>
  <c r="F203" i="1"/>
  <c r="F204" i="1"/>
  <c r="F205" i="1"/>
  <c r="F206" i="1"/>
  <c r="F207" i="1"/>
  <c r="H207" i="1" s="1"/>
  <c r="F208" i="1"/>
  <c r="H208" i="1" s="1"/>
  <c r="F209" i="1"/>
  <c r="H209" i="1" s="1"/>
  <c r="F210" i="1"/>
  <c r="H210" i="1" s="1"/>
  <c r="F211" i="1"/>
  <c r="H211" i="1" s="1"/>
  <c r="F212" i="1"/>
  <c r="H212" i="1" s="1"/>
  <c r="F213" i="1"/>
  <c r="F214" i="1"/>
  <c r="F215" i="1"/>
  <c r="F216" i="1"/>
  <c r="F217" i="1"/>
  <c r="F218" i="1"/>
  <c r="F219" i="1"/>
  <c r="H219" i="1" s="1"/>
  <c r="F220" i="1"/>
  <c r="H220" i="1" s="1"/>
  <c r="F221" i="1"/>
  <c r="H221" i="1" s="1"/>
  <c r="F222" i="1"/>
  <c r="H222" i="1" s="1"/>
  <c r="F223" i="1"/>
  <c r="H223" i="1" s="1"/>
  <c r="F224" i="1"/>
  <c r="H224" i="1" s="1"/>
  <c r="F225" i="1"/>
  <c r="F226" i="1"/>
  <c r="F227" i="1"/>
  <c r="F228" i="1"/>
  <c r="F229" i="1"/>
  <c r="F230" i="1"/>
  <c r="F231" i="1"/>
  <c r="H231" i="1" s="1"/>
  <c r="F232" i="1"/>
  <c r="H232" i="1" s="1"/>
  <c r="F233" i="1"/>
  <c r="H233" i="1" s="1"/>
  <c r="F234" i="1"/>
  <c r="H234" i="1" s="1"/>
  <c r="F235" i="1"/>
  <c r="H235" i="1" s="1"/>
  <c r="F236" i="1"/>
  <c r="H236" i="1" s="1"/>
  <c r="F237" i="1"/>
  <c r="F238" i="1"/>
  <c r="F239" i="1"/>
  <c r="F240" i="1"/>
  <c r="F241" i="1"/>
  <c r="F242" i="1"/>
  <c r="F243" i="1"/>
  <c r="H243" i="1" s="1"/>
  <c r="F244" i="1"/>
  <c r="H244" i="1" s="1"/>
  <c r="F245" i="1"/>
  <c r="H245" i="1" s="1"/>
  <c r="F246" i="1"/>
  <c r="H246" i="1" s="1"/>
  <c r="F247" i="1"/>
  <c r="H247" i="1" s="1"/>
  <c r="F248" i="1"/>
  <c r="H248" i="1" s="1"/>
  <c r="F249" i="1"/>
  <c r="F250" i="1"/>
  <c r="F251" i="1"/>
  <c r="F252" i="1"/>
  <c r="F253" i="1"/>
  <c r="F254" i="1"/>
  <c r="F255" i="1"/>
  <c r="H255" i="1" s="1"/>
  <c r="F256" i="1"/>
  <c r="H256" i="1" s="1"/>
  <c r="F257" i="1"/>
  <c r="H257" i="1" s="1"/>
  <c r="F258" i="1"/>
  <c r="H258" i="1" s="1"/>
  <c r="F259" i="1"/>
  <c r="H259" i="1" s="1"/>
  <c r="F260" i="1"/>
  <c r="H260" i="1" s="1"/>
  <c r="F261" i="1"/>
  <c r="F262" i="1"/>
  <c r="F263" i="1"/>
  <c r="F264" i="1"/>
  <c r="F265" i="1"/>
  <c r="F266" i="1"/>
  <c r="F267" i="1"/>
  <c r="H267" i="1" s="1"/>
  <c r="F268" i="1"/>
  <c r="H268" i="1" s="1"/>
  <c r="F269" i="1"/>
  <c r="H269" i="1" s="1"/>
  <c r="F270" i="1"/>
  <c r="H270" i="1" s="1"/>
  <c r="F271" i="1"/>
  <c r="H271" i="1" s="1"/>
  <c r="F272" i="1"/>
  <c r="H272" i="1" s="1"/>
  <c r="F273" i="1"/>
  <c r="F274" i="1"/>
  <c r="F275" i="1"/>
  <c r="F276" i="1"/>
  <c r="F277" i="1"/>
  <c r="F278" i="1"/>
  <c r="F279" i="1"/>
  <c r="H279" i="1" s="1"/>
  <c r="F280" i="1"/>
  <c r="H280" i="1" s="1"/>
  <c r="F281" i="1"/>
  <c r="H281" i="1" s="1"/>
  <c r="F282" i="1"/>
  <c r="H282" i="1" s="1"/>
  <c r="F283" i="1"/>
  <c r="H283" i="1" s="1"/>
  <c r="F284" i="1"/>
  <c r="H284" i="1" s="1"/>
  <c r="F285" i="1"/>
  <c r="F286" i="1"/>
  <c r="F287" i="1"/>
  <c r="F288" i="1"/>
  <c r="F289" i="1"/>
  <c r="F290" i="1"/>
  <c r="F291" i="1"/>
  <c r="H291" i="1" s="1"/>
  <c r="F292" i="1"/>
  <c r="H292" i="1" s="1"/>
  <c r="F293" i="1"/>
  <c r="H293" i="1" s="1"/>
  <c r="F294" i="1"/>
  <c r="H294" i="1" s="1"/>
  <c r="F295" i="1"/>
  <c r="H295" i="1" s="1"/>
  <c r="F296" i="1"/>
  <c r="H296" i="1" s="1"/>
  <c r="F297" i="1"/>
  <c r="F298" i="1"/>
  <c r="F299" i="1"/>
  <c r="F300" i="1"/>
  <c r="F301" i="1"/>
  <c r="F302" i="1"/>
  <c r="F303" i="1"/>
  <c r="H303" i="1" s="1"/>
  <c r="F304" i="1"/>
  <c r="H304" i="1" s="1"/>
  <c r="F2" i="1"/>
  <c r="H2" i="1" s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2" i="1"/>
  <c r="A3" i="3"/>
  <c r="A4" i="3"/>
  <c r="A5" i="3"/>
  <c r="A6" i="3"/>
  <c r="A7" i="3"/>
  <c r="A8" i="3"/>
  <c r="A9" i="3"/>
  <c r="A10" i="3"/>
  <c r="A11" i="3"/>
  <c r="A2" i="3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2" i="2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2" i="1"/>
</calcChain>
</file>

<file path=xl/sharedStrings.xml><?xml version="1.0" encoding="utf-8"?>
<sst xmlns="http://schemas.openxmlformats.org/spreadsheetml/2006/main" count="14" uniqueCount="10">
  <si>
    <t>day</t>
  </si>
  <si>
    <t>dau</t>
  </si>
  <si>
    <t>month</t>
  </si>
  <si>
    <t>mau</t>
  </si>
  <si>
    <t>week</t>
  </si>
  <si>
    <t>wau</t>
  </si>
  <si>
    <t>week_nom</t>
  </si>
  <si>
    <t>SFW</t>
  </si>
  <si>
    <t>SFM</t>
  </si>
  <si>
    <t>month_nom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</si>
</sst>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0.000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Динамика уникальных пользователей</a:t>
            </a:r>
          </a:p>
        </c:rich>
      </c:tx>
      <c:layout>
        <c:manualLayout>
          <c:xMode val="edge"/>
          <c:yMode val="edge"/>
          <c:x val="0.34441590083273022"/>
          <c:y val="2.66310912057008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DAU!$D$1</c:f>
              <c:strCache>
                <c:ptCount val="1"/>
                <c:pt idx="0">
                  <c:v>dau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DAU!$C:$C</c:f>
              <c:strCache>
                <c:ptCount val="304"/>
                <c:pt idx="0">
                  <c:v>day</c:v>
                </c:pt>
                <c:pt idx="1">
                  <c:v>02.07.22</c:v>
                </c:pt>
                <c:pt idx="2">
                  <c:v>03.07.22</c:v>
                </c:pt>
                <c:pt idx="3">
                  <c:v>04.07.22</c:v>
                </c:pt>
                <c:pt idx="4">
                  <c:v>05.07.22</c:v>
                </c:pt>
                <c:pt idx="5">
                  <c:v>06.07.22</c:v>
                </c:pt>
                <c:pt idx="6">
                  <c:v>07.07.22</c:v>
                </c:pt>
                <c:pt idx="7">
                  <c:v>08.07.22</c:v>
                </c:pt>
                <c:pt idx="8">
                  <c:v>09.07.22</c:v>
                </c:pt>
                <c:pt idx="9">
                  <c:v>10.07.22</c:v>
                </c:pt>
                <c:pt idx="10">
                  <c:v>11.07.22</c:v>
                </c:pt>
                <c:pt idx="11">
                  <c:v>12.07.22</c:v>
                </c:pt>
                <c:pt idx="12">
                  <c:v>13.07.22</c:v>
                </c:pt>
                <c:pt idx="13">
                  <c:v>14.07.22</c:v>
                </c:pt>
                <c:pt idx="14">
                  <c:v>15.07.22</c:v>
                </c:pt>
                <c:pt idx="15">
                  <c:v>16.07.22</c:v>
                </c:pt>
                <c:pt idx="16">
                  <c:v>17.07.22</c:v>
                </c:pt>
                <c:pt idx="17">
                  <c:v>18.07.22</c:v>
                </c:pt>
                <c:pt idx="18">
                  <c:v>19.07.22</c:v>
                </c:pt>
                <c:pt idx="19">
                  <c:v>20.07.22</c:v>
                </c:pt>
                <c:pt idx="20">
                  <c:v>21.07.22</c:v>
                </c:pt>
                <c:pt idx="21">
                  <c:v>22.07.22</c:v>
                </c:pt>
                <c:pt idx="22">
                  <c:v>23.07.22</c:v>
                </c:pt>
                <c:pt idx="23">
                  <c:v>24.07.22</c:v>
                </c:pt>
                <c:pt idx="24">
                  <c:v>25.07.22</c:v>
                </c:pt>
                <c:pt idx="25">
                  <c:v>26.07.22</c:v>
                </c:pt>
                <c:pt idx="26">
                  <c:v>27.07.22</c:v>
                </c:pt>
                <c:pt idx="27">
                  <c:v>28.07.22</c:v>
                </c:pt>
                <c:pt idx="28">
                  <c:v>29.07.22</c:v>
                </c:pt>
                <c:pt idx="29">
                  <c:v>30.07.22</c:v>
                </c:pt>
                <c:pt idx="30">
                  <c:v>31.07.22</c:v>
                </c:pt>
                <c:pt idx="31">
                  <c:v>01.08.22</c:v>
                </c:pt>
                <c:pt idx="32">
                  <c:v>02.08.22</c:v>
                </c:pt>
                <c:pt idx="33">
                  <c:v>03.08.22</c:v>
                </c:pt>
                <c:pt idx="34">
                  <c:v>04.08.22</c:v>
                </c:pt>
                <c:pt idx="35">
                  <c:v>05.08.22</c:v>
                </c:pt>
                <c:pt idx="36">
                  <c:v>06.08.22</c:v>
                </c:pt>
                <c:pt idx="37">
                  <c:v>07.08.22</c:v>
                </c:pt>
                <c:pt idx="38">
                  <c:v>08.08.22</c:v>
                </c:pt>
                <c:pt idx="39">
                  <c:v>09.08.22</c:v>
                </c:pt>
                <c:pt idx="40">
                  <c:v>10.08.22</c:v>
                </c:pt>
                <c:pt idx="41">
                  <c:v>11.08.22</c:v>
                </c:pt>
                <c:pt idx="42">
                  <c:v>12.08.22</c:v>
                </c:pt>
                <c:pt idx="43">
                  <c:v>13.08.22</c:v>
                </c:pt>
                <c:pt idx="44">
                  <c:v>14.08.22</c:v>
                </c:pt>
                <c:pt idx="45">
                  <c:v>15.08.22</c:v>
                </c:pt>
                <c:pt idx="46">
                  <c:v>16.08.22</c:v>
                </c:pt>
                <c:pt idx="47">
                  <c:v>17.08.22</c:v>
                </c:pt>
                <c:pt idx="48">
                  <c:v>18.08.22</c:v>
                </c:pt>
                <c:pt idx="49">
                  <c:v>19.08.22</c:v>
                </c:pt>
                <c:pt idx="50">
                  <c:v>20.08.22</c:v>
                </c:pt>
                <c:pt idx="51">
                  <c:v>21.08.22</c:v>
                </c:pt>
                <c:pt idx="52">
                  <c:v>22.08.22</c:v>
                </c:pt>
                <c:pt idx="53">
                  <c:v>23.08.22</c:v>
                </c:pt>
                <c:pt idx="54">
                  <c:v>24.08.22</c:v>
                </c:pt>
                <c:pt idx="55">
                  <c:v>25.08.22</c:v>
                </c:pt>
                <c:pt idx="56">
                  <c:v>26.08.22</c:v>
                </c:pt>
                <c:pt idx="57">
                  <c:v>27.08.22</c:v>
                </c:pt>
                <c:pt idx="58">
                  <c:v>28.08.22</c:v>
                </c:pt>
                <c:pt idx="59">
                  <c:v>29.08.22</c:v>
                </c:pt>
                <c:pt idx="60">
                  <c:v>30.08.22</c:v>
                </c:pt>
                <c:pt idx="61">
                  <c:v>31.08.22</c:v>
                </c:pt>
                <c:pt idx="62">
                  <c:v>01.09.22</c:v>
                </c:pt>
                <c:pt idx="63">
                  <c:v>02.09.22</c:v>
                </c:pt>
                <c:pt idx="64">
                  <c:v>03.09.22</c:v>
                </c:pt>
                <c:pt idx="65">
                  <c:v>04.09.22</c:v>
                </c:pt>
                <c:pt idx="66">
                  <c:v>05.09.22</c:v>
                </c:pt>
                <c:pt idx="67">
                  <c:v>06.09.22</c:v>
                </c:pt>
                <c:pt idx="68">
                  <c:v>07.09.22</c:v>
                </c:pt>
                <c:pt idx="69">
                  <c:v>08.09.22</c:v>
                </c:pt>
                <c:pt idx="70">
                  <c:v>09.09.22</c:v>
                </c:pt>
                <c:pt idx="71">
                  <c:v>10.09.22</c:v>
                </c:pt>
                <c:pt idx="72">
                  <c:v>11.09.22</c:v>
                </c:pt>
                <c:pt idx="73">
                  <c:v>12.09.22</c:v>
                </c:pt>
                <c:pt idx="74">
                  <c:v>13.09.22</c:v>
                </c:pt>
                <c:pt idx="75">
                  <c:v>14.09.22</c:v>
                </c:pt>
                <c:pt idx="76">
                  <c:v>15.09.22</c:v>
                </c:pt>
                <c:pt idx="77">
                  <c:v>16.09.22</c:v>
                </c:pt>
                <c:pt idx="78">
                  <c:v>17.09.22</c:v>
                </c:pt>
                <c:pt idx="79">
                  <c:v>18.09.22</c:v>
                </c:pt>
                <c:pt idx="80">
                  <c:v>19.09.22</c:v>
                </c:pt>
                <c:pt idx="81">
                  <c:v>20.09.22</c:v>
                </c:pt>
                <c:pt idx="82">
                  <c:v>21.09.22</c:v>
                </c:pt>
                <c:pt idx="83">
                  <c:v>22.09.22</c:v>
                </c:pt>
                <c:pt idx="84">
                  <c:v>23.09.22</c:v>
                </c:pt>
                <c:pt idx="85">
                  <c:v>24.09.22</c:v>
                </c:pt>
                <c:pt idx="86">
                  <c:v>25.09.22</c:v>
                </c:pt>
                <c:pt idx="87">
                  <c:v>26.09.22</c:v>
                </c:pt>
                <c:pt idx="88">
                  <c:v>27.09.22</c:v>
                </c:pt>
                <c:pt idx="89">
                  <c:v>28.09.22</c:v>
                </c:pt>
                <c:pt idx="90">
                  <c:v>29.09.22</c:v>
                </c:pt>
                <c:pt idx="91">
                  <c:v>30.09.22</c:v>
                </c:pt>
                <c:pt idx="92">
                  <c:v>01.10.22</c:v>
                </c:pt>
                <c:pt idx="93">
                  <c:v>02.10.22</c:v>
                </c:pt>
                <c:pt idx="94">
                  <c:v>03.10.22</c:v>
                </c:pt>
                <c:pt idx="95">
                  <c:v>04.10.22</c:v>
                </c:pt>
                <c:pt idx="96">
                  <c:v>05.10.22</c:v>
                </c:pt>
                <c:pt idx="97">
                  <c:v>06.10.22</c:v>
                </c:pt>
                <c:pt idx="98">
                  <c:v>07.10.22</c:v>
                </c:pt>
                <c:pt idx="99">
                  <c:v>08.10.22</c:v>
                </c:pt>
                <c:pt idx="100">
                  <c:v>09.10.22</c:v>
                </c:pt>
                <c:pt idx="101">
                  <c:v>10.10.22</c:v>
                </c:pt>
                <c:pt idx="102">
                  <c:v>11.10.22</c:v>
                </c:pt>
                <c:pt idx="103">
                  <c:v>12.10.22</c:v>
                </c:pt>
                <c:pt idx="104">
                  <c:v>13.10.22</c:v>
                </c:pt>
                <c:pt idx="105">
                  <c:v>14.10.22</c:v>
                </c:pt>
                <c:pt idx="106">
                  <c:v>15.10.22</c:v>
                </c:pt>
                <c:pt idx="107">
                  <c:v>16.10.22</c:v>
                </c:pt>
                <c:pt idx="108">
                  <c:v>17.10.22</c:v>
                </c:pt>
                <c:pt idx="109">
                  <c:v>18.10.22</c:v>
                </c:pt>
                <c:pt idx="110">
                  <c:v>19.10.22</c:v>
                </c:pt>
                <c:pt idx="111">
                  <c:v>20.10.22</c:v>
                </c:pt>
                <c:pt idx="112">
                  <c:v>21.10.22</c:v>
                </c:pt>
                <c:pt idx="113">
                  <c:v>22.10.22</c:v>
                </c:pt>
                <c:pt idx="114">
                  <c:v>23.10.22</c:v>
                </c:pt>
                <c:pt idx="115">
                  <c:v>24.10.22</c:v>
                </c:pt>
                <c:pt idx="116">
                  <c:v>25.10.22</c:v>
                </c:pt>
                <c:pt idx="117">
                  <c:v>26.10.22</c:v>
                </c:pt>
                <c:pt idx="118">
                  <c:v>27.10.22</c:v>
                </c:pt>
                <c:pt idx="119">
                  <c:v>28.10.22</c:v>
                </c:pt>
                <c:pt idx="120">
                  <c:v>29.10.22</c:v>
                </c:pt>
                <c:pt idx="121">
                  <c:v>30.10.22</c:v>
                </c:pt>
                <c:pt idx="122">
                  <c:v>31.10.22</c:v>
                </c:pt>
                <c:pt idx="123">
                  <c:v>01.11.22</c:v>
                </c:pt>
                <c:pt idx="124">
                  <c:v>02.11.22</c:v>
                </c:pt>
                <c:pt idx="125">
                  <c:v>03.11.22</c:v>
                </c:pt>
                <c:pt idx="126">
                  <c:v>04.11.22</c:v>
                </c:pt>
                <c:pt idx="127">
                  <c:v>05.11.22</c:v>
                </c:pt>
                <c:pt idx="128">
                  <c:v>06.11.22</c:v>
                </c:pt>
                <c:pt idx="129">
                  <c:v>07.11.22</c:v>
                </c:pt>
                <c:pt idx="130">
                  <c:v>08.11.22</c:v>
                </c:pt>
                <c:pt idx="131">
                  <c:v>09.11.22</c:v>
                </c:pt>
                <c:pt idx="132">
                  <c:v>10.11.22</c:v>
                </c:pt>
                <c:pt idx="133">
                  <c:v>11.11.22</c:v>
                </c:pt>
                <c:pt idx="134">
                  <c:v>12.11.22</c:v>
                </c:pt>
                <c:pt idx="135">
                  <c:v>13.11.22</c:v>
                </c:pt>
                <c:pt idx="136">
                  <c:v>14.11.22</c:v>
                </c:pt>
                <c:pt idx="137">
                  <c:v>15.11.22</c:v>
                </c:pt>
                <c:pt idx="138">
                  <c:v>16.11.22</c:v>
                </c:pt>
                <c:pt idx="139">
                  <c:v>17.11.22</c:v>
                </c:pt>
                <c:pt idx="140">
                  <c:v>18.11.22</c:v>
                </c:pt>
                <c:pt idx="141">
                  <c:v>19.11.22</c:v>
                </c:pt>
                <c:pt idx="142">
                  <c:v>20.11.22</c:v>
                </c:pt>
                <c:pt idx="143">
                  <c:v>21.11.22</c:v>
                </c:pt>
                <c:pt idx="144">
                  <c:v>22.11.22</c:v>
                </c:pt>
                <c:pt idx="145">
                  <c:v>23.11.22</c:v>
                </c:pt>
                <c:pt idx="146">
                  <c:v>24.11.22</c:v>
                </c:pt>
                <c:pt idx="147">
                  <c:v>25.11.22</c:v>
                </c:pt>
                <c:pt idx="148">
                  <c:v>26.11.22</c:v>
                </c:pt>
                <c:pt idx="149">
                  <c:v>27.11.22</c:v>
                </c:pt>
                <c:pt idx="150">
                  <c:v>28.11.22</c:v>
                </c:pt>
                <c:pt idx="151">
                  <c:v>29.11.22</c:v>
                </c:pt>
                <c:pt idx="152">
                  <c:v>30.11.22</c:v>
                </c:pt>
                <c:pt idx="153">
                  <c:v>01.12.22</c:v>
                </c:pt>
                <c:pt idx="154">
                  <c:v>02.12.22</c:v>
                </c:pt>
                <c:pt idx="155">
                  <c:v>03.12.22</c:v>
                </c:pt>
                <c:pt idx="156">
                  <c:v>04.12.22</c:v>
                </c:pt>
                <c:pt idx="157">
                  <c:v>05.12.22</c:v>
                </c:pt>
                <c:pt idx="158">
                  <c:v>06.12.22</c:v>
                </c:pt>
                <c:pt idx="159">
                  <c:v>07.12.22</c:v>
                </c:pt>
                <c:pt idx="160">
                  <c:v>08.12.22</c:v>
                </c:pt>
                <c:pt idx="161">
                  <c:v>09.12.22</c:v>
                </c:pt>
                <c:pt idx="162">
                  <c:v>10.12.22</c:v>
                </c:pt>
                <c:pt idx="163">
                  <c:v>11.12.22</c:v>
                </c:pt>
                <c:pt idx="164">
                  <c:v>12.12.22</c:v>
                </c:pt>
                <c:pt idx="165">
                  <c:v>13.12.22</c:v>
                </c:pt>
                <c:pt idx="166">
                  <c:v>14.12.22</c:v>
                </c:pt>
                <c:pt idx="167">
                  <c:v>15.12.22</c:v>
                </c:pt>
                <c:pt idx="168">
                  <c:v>16.12.22</c:v>
                </c:pt>
                <c:pt idx="169">
                  <c:v>17.12.22</c:v>
                </c:pt>
                <c:pt idx="170">
                  <c:v>18.12.22</c:v>
                </c:pt>
                <c:pt idx="171">
                  <c:v>19.12.22</c:v>
                </c:pt>
                <c:pt idx="172">
                  <c:v>20.12.22</c:v>
                </c:pt>
                <c:pt idx="173">
                  <c:v>21.12.22</c:v>
                </c:pt>
                <c:pt idx="174">
                  <c:v>22.12.22</c:v>
                </c:pt>
                <c:pt idx="175">
                  <c:v>23.12.22</c:v>
                </c:pt>
                <c:pt idx="176">
                  <c:v>24.12.22</c:v>
                </c:pt>
                <c:pt idx="177">
                  <c:v>25.12.22</c:v>
                </c:pt>
                <c:pt idx="178">
                  <c:v>26.12.22</c:v>
                </c:pt>
                <c:pt idx="179">
                  <c:v>27.12.22</c:v>
                </c:pt>
                <c:pt idx="180">
                  <c:v>28.12.22</c:v>
                </c:pt>
                <c:pt idx="181">
                  <c:v>29.12.22</c:v>
                </c:pt>
                <c:pt idx="182">
                  <c:v>30.12.22</c:v>
                </c:pt>
                <c:pt idx="183">
                  <c:v>31.12.22</c:v>
                </c:pt>
                <c:pt idx="184">
                  <c:v>01.01.23</c:v>
                </c:pt>
                <c:pt idx="185">
                  <c:v>02.01.23</c:v>
                </c:pt>
                <c:pt idx="186">
                  <c:v>03.01.23</c:v>
                </c:pt>
                <c:pt idx="187">
                  <c:v>04.01.23</c:v>
                </c:pt>
                <c:pt idx="188">
                  <c:v>05.01.23</c:v>
                </c:pt>
                <c:pt idx="189">
                  <c:v>06.01.23</c:v>
                </c:pt>
                <c:pt idx="190">
                  <c:v>07.01.23</c:v>
                </c:pt>
                <c:pt idx="191">
                  <c:v>08.01.23</c:v>
                </c:pt>
                <c:pt idx="192">
                  <c:v>09.01.23</c:v>
                </c:pt>
                <c:pt idx="193">
                  <c:v>10.01.23</c:v>
                </c:pt>
                <c:pt idx="194">
                  <c:v>11.01.23</c:v>
                </c:pt>
                <c:pt idx="195">
                  <c:v>12.01.23</c:v>
                </c:pt>
                <c:pt idx="196">
                  <c:v>13.01.23</c:v>
                </c:pt>
                <c:pt idx="197">
                  <c:v>14.01.23</c:v>
                </c:pt>
                <c:pt idx="198">
                  <c:v>15.01.23</c:v>
                </c:pt>
                <c:pt idx="199">
                  <c:v>16.01.23</c:v>
                </c:pt>
                <c:pt idx="200">
                  <c:v>17.01.23</c:v>
                </c:pt>
                <c:pt idx="201">
                  <c:v>18.01.23</c:v>
                </c:pt>
                <c:pt idx="202">
                  <c:v>19.01.23</c:v>
                </c:pt>
                <c:pt idx="203">
                  <c:v>20.01.23</c:v>
                </c:pt>
                <c:pt idx="204">
                  <c:v>21.01.23</c:v>
                </c:pt>
                <c:pt idx="205">
                  <c:v>22.01.23</c:v>
                </c:pt>
                <c:pt idx="206">
                  <c:v>23.01.23</c:v>
                </c:pt>
                <c:pt idx="207">
                  <c:v>24.01.23</c:v>
                </c:pt>
                <c:pt idx="208">
                  <c:v>25.01.23</c:v>
                </c:pt>
                <c:pt idx="209">
                  <c:v>26.01.23</c:v>
                </c:pt>
                <c:pt idx="210">
                  <c:v>27.01.23</c:v>
                </c:pt>
                <c:pt idx="211">
                  <c:v>28.01.23</c:v>
                </c:pt>
                <c:pt idx="212">
                  <c:v>29.01.23</c:v>
                </c:pt>
                <c:pt idx="213">
                  <c:v>30.01.23</c:v>
                </c:pt>
                <c:pt idx="214">
                  <c:v>31.01.23</c:v>
                </c:pt>
                <c:pt idx="215">
                  <c:v>01.02.23</c:v>
                </c:pt>
                <c:pt idx="216">
                  <c:v>02.02.23</c:v>
                </c:pt>
                <c:pt idx="217">
                  <c:v>03.02.23</c:v>
                </c:pt>
                <c:pt idx="218">
                  <c:v>04.02.23</c:v>
                </c:pt>
                <c:pt idx="219">
                  <c:v>05.02.23</c:v>
                </c:pt>
                <c:pt idx="220">
                  <c:v>06.02.23</c:v>
                </c:pt>
                <c:pt idx="221">
                  <c:v>07.02.23</c:v>
                </c:pt>
                <c:pt idx="222">
                  <c:v>08.02.23</c:v>
                </c:pt>
                <c:pt idx="223">
                  <c:v>09.02.23</c:v>
                </c:pt>
                <c:pt idx="224">
                  <c:v>10.02.23</c:v>
                </c:pt>
                <c:pt idx="225">
                  <c:v>11.02.23</c:v>
                </c:pt>
                <c:pt idx="226">
                  <c:v>12.02.23</c:v>
                </c:pt>
                <c:pt idx="227">
                  <c:v>13.02.23</c:v>
                </c:pt>
                <c:pt idx="228">
                  <c:v>14.02.23</c:v>
                </c:pt>
                <c:pt idx="229">
                  <c:v>15.02.23</c:v>
                </c:pt>
                <c:pt idx="230">
                  <c:v>16.02.23</c:v>
                </c:pt>
                <c:pt idx="231">
                  <c:v>17.02.23</c:v>
                </c:pt>
                <c:pt idx="232">
                  <c:v>18.02.23</c:v>
                </c:pt>
                <c:pt idx="233">
                  <c:v>19.02.23</c:v>
                </c:pt>
                <c:pt idx="234">
                  <c:v>20.02.23</c:v>
                </c:pt>
                <c:pt idx="235">
                  <c:v>21.02.23</c:v>
                </c:pt>
                <c:pt idx="236">
                  <c:v>22.02.23</c:v>
                </c:pt>
                <c:pt idx="237">
                  <c:v>23.02.23</c:v>
                </c:pt>
                <c:pt idx="238">
                  <c:v>24.02.23</c:v>
                </c:pt>
                <c:pt idx="239">
                  <c:v>25.02.23</c:v>
                </c:pt>
                <c:pt idx="240">
                  <c:v>26.02.23</c:v>
                </c:pt>
                <c:pt idx="241">
                  <c:v>27.02.23</c:v>
                </c:pt>
                <c:pt idx="242">
                  <c:v>28.02.23</c:v>
                </c:pt>
                <c:pt idx="243">
                  <c:v>01.03.23</c:v>
                </c:pt>
                <c:pt idx="244">
                  <c:v>02.03.23</c:v>
                </c:pt>
                <c:pt idx="245">
                  <c:v>03.03.23</c:v>
                </c:pt>
                <c:pt idx="246">
                  <c:v>04.03.23</c:v>
                </c:pt>
                <c:pt idx="247">
                  <c:v>05.03.23</c:v>
                </c:pt>
                <c:pt idx="248">
                  <c:v>06.03.23</c:v>
                </c:pt>
                <c:pt idx="249">
                  <c:v>07.03.23</c:v>
                </c:pt>
                <c:pt idx="250">
                  <c:v>08.03.23</c:v>
                </c:pt>
                <c:pt idx="251">
                  <c:v>09.03.23</c:v>
                </c:pt>
                <c:pt idx="252">
                  <c:v>10.03.23</c:v>
                </c:pt>
                <c:pt idx="253">
                  <c:v>11.03.23</c:v>
                </c:pt>
                <c:pt idx="254">
                  <c:v>12.03.23</c:v>
                </c:pt>
                <c:pt idx="255">
                  <c:v>13.03.23</c:v>
                </c:pt>
                <c:pt idx="256">
                  <c:v>14.03.23</c:v>
                </c:pt>
                <c:pt idx="257">
                  <c:v>15.03.23</c:v>
                </c:pt>
                <c:pt idx="258">
                  <c:v>16.03.23</c:v>
                </c:pt>
                <c:pt idx="259">
                  <c:v>17.03.23</c:v>
                </c:pt>
                <c:pt idx="260">
                  <c:v>18.03.23</c:v>
                </c:pt>
                <c:pt idx="261">
                  <c:v>19.03.23</c:v>
                </c:pt>
                <c:pt idx="262">
                  <c:v>20.03.23</c:v>
                </c:pt>
                <c:pt idx="263">
                  <c:v>21.03.23</c:v>
                </c:pt>
                <c:pt idx="264">
                  <c:v>22.03.23</c:v>
                </c:pt>
                <c:pt idx="265">
                  <c:v>23.03.23</c:v>
                </c:pt>
                <c:pt idx="266">
                  <c:v>24.03.23</c:v>
                </c:pt>
                <c:pt idx="267">
                  <c:v>25.03.23</c:v>
                </c:pt>
                <c:pt idx="268">
                  <c:v>26.03.23</c:v>
                </c:pt>
                <c:pt idx="269">
                  <c:v>27.03.23</c:v>
                </c:pt>
                <c:pt idx="270">
                  <c:v>28.03.23</c:v>
                </c:pt>
                <c:pt idx="271">
                  <c:v>29.03.23</c:v>
                </c:pt>
                <c:pt idx="272">
                  <c:v>30.03.23</c:v>
                </c:pt>
                <c:pt idx="273">
                  <c:v>31.03.23</c:v>
                </c:pt>
                <c:pt idx="274">
                  <c:v>01.04.23</c:v>
                </c:pt>
                <c:pt idx="275">
                  <c:v>02.04.23</c:v>
                </c:pt>
                <c:pt idx="276">
                  <c:v>03.04.23</c:v>
                </c:pt>
                <c:pt idx="277">
                  <c:v>04.04.23</c:v>
                </c:pt>
                <c:pt idx="278">
                  <c:v>05.04.23</c:v>
                </c:pt>
                <c:pt idx="279">
                  <c:v>06.04.23</c:v>
                </c:pt>
                <c:pt idx="280">
                  <c:v>07.04.23</c:v>
                </c:pt>
                <c:pt idx="281">
                  <c:v>08.04.23</c:v>
                </c:pt>
                <c:pt idx="282">
                  <c:v>09.04.23</c:v>
                </c:pt>
                <c:pt idx="283">
                  <c:v>10.04.23</c:v>
                </c:pt>
                <c:pt idx="284">
                  <c:v>11.04.23</c:v>
                </c:pt>
                <c:pt idx="285">
                  <c:v>12.04.23</c:v>
                </c:pt>
                <c:pt idx="286">
                  <c:v>13.04.23</c:v>
                </c:pt>
                <c:pt idx="287">
                  <c:v>14.04.23</c:v>
                </c:pt>
                <c:pt idx="288">
                  <c:v>15.04.23</c:v>
                </c:pt>
                <c:pt idx="289">
                  <c:v>16.04.23</c:v>
                </c:pt>
                <c:pt idx="290">
                  <c:v>17.04.23</c:v>
                </c:pt>
                <c:pt idx="291">
                  <c:v>18.04.23</c:v>
                </c:pt>
                <c:pt idx="292">
                  <c:v>19.04.23</c:v>
                </c:pt>
                <c:pt idx="293">
                  <c:v>20.04.23</c:v>
                </c:pt>
                <c:pt idx="294">
                  <c:v>21.04.23</c:v>
                </c:pt>
                <c:pt idx="295">
                  <c:v>22.04.23</c:v>
                </c:pt>
                <c:pt idx="296">
                  <c:v>23.04.23</c:v>
                </c:pt>
                <c:pt idx="297">
                  <c:v>24.04.23</c:v>
                </c:pt>
                <c:pt idx="298">
                  <c:v>25.04.23</c:v>
                </c:pt>
                <c:pt idx="299">
                  <c:v>26.04.23</c:v>
                </c:pt>
                <c:pt idx="300">
                  <c:v>27.04.23</c:v>
                </c:pt>
                <c:pt idx="301">
                  <c:v>28.04.23</c:v>
                </c:pt>
                <c:pt idx="302">
                  <c:v>29.04.23</c:v>
                </c:pt>
                <c:pt idx="303">
                  <c:v>30.04.23</c:v>
                </c:pt>
              </c:strCache>
            </c:strRef>
          </c:cat>
          <c:val>
            <c:numRef>
              <c:f>DAU!$D$2:$D$304</c:f>
              <c:numCache>
                <c:formatCode>#,##0</c:formatCode>
                <c:ptCount val="303"/>
                <c:pt idx="0">
                  <c:v>3</c:v>
                </c:pt>
                <c:pt idx="1">
                  <c:v>6</c:v>
                </c:pt>
                <c:pt idx="2">
                  <c:v>5</c:v>
                </c:pt>
                <c:pt idx="3">
                  <c:v>10</c:v>
                </c:pt>
                <c:pt idx="4">
                  <c:v>5</c:v>
                </c:pt>
                <c:pt idx="5">
                  <c:v>13</c:v>
                </c:pt>
                <c:pt idx="6">
                  <c:v>22</c:v>
                </c:pt>
                <c:pt idx="7">
                  <c:v>22</c:v>
                </c:pt>
                <c:pt idx="8">
                  <c:v>26</c:v>
                </c:pt>
                <c:pt idx="9">
                  <c:v>23</c:v>
                </c:pt>
                <c:pt idx="10">
                  <c:v>24</c:v>
                </c:pt>
                <c:pt idx="11">
                  <c:v>30</c:v>
                </c:pt>
                <c:pt idx="12">
                  <c:v>32</c:v>
                </c:pt>
                <c:pt idx="13">
                  <c:v>25</c:v>
                </c:pt>
                <c:pt idx="14">
                  <c:v>34</c:v>
                </c:pt>
                <c:pt idx="15">
                  <c:v>39</c:v>
                </c:pt>
                <c:pt idx="16">
                  <c:v>22</c:v>
                </c:pt>
                <c:pt idx="17">
                  <c:v>38</c:v>
                </c:pt>
                <c:pt idx="18">
                  <c:v>34</c:v>
                </c:pt>
                <c:pt idx="19">
                  <c:v>50</c:v>
                </c:pt>
                <c:pt idx="20">
                  <c:v>43</c:v>
                </c:pt>
                <c:pt idx="21">
                  <c:v>43</c:v>
                </c:pt>
                <c:pt idx="22">
                  <c:v>53</c:v>
                </c:pt>
                <c:pt idx="23">
                  <c:v>63</c:v>
                </c:pt>
                <c:pt idx="24">
                  <c:v>48</c:v>
                </c:pt>
                <c:pt idx="25">
                  <c:v>59</c:v>
                </c:pt>
                <c:pt idx="26">
                  <c:v>59</c:v>
                </c:pt>
                <c:pt idx="27">
                  <c:v>61</c:v>
                </c:pt>
                <c:pt idx="28">
                  <c:v>64</c:v>
                </c:pt>
                <c:pt idx="29">
                  <c:v>64</c:v>
                </c:pt>
                <c:pt idx="30">
                  <c:v>52</c:v>
                </c:pt>
                <c:pt idx="31">
                  <c:v>62</c:v>
                </c:pt>
                <c:pt idx="32">
                  <c:v>55</c:v>
                </c:pt>
                <c:pt idx="33">
                  <c:v>60</c:v>
                </c:pt>
                <c:pt idx="34">
                  <c:v>52</c:v>
                </c:pt>
                <c:pt idx="35">
                  <c:v>62</c:v>
                </c:pt>
                <c:pt idx="36">
                  <c:v>59</c:v>
                </c:pt>
                <c:pt idx="37">
                  <c:v>58</c:v>
                </c:pt>
                <c:pt idx="38">
                  <c:v>53</c:v>
                </c:pt>
                <c:pt idx="39">
                  <c:v>55</c:v>
                </c:pt>
                <c:pt idx="40">
                  <c:v>65</c:v>
                </c:pt>
                <c:pt idx="41">
                  <c:v>54</c:v>
                </c:pt>
                <c:pt idx="42">
                  <c:v>74</c:v>
                </c:pt>
                <c:pt idx="43">
                  <c:v>59</c:v>
                </c:pt>
                <c:pt idx="44">
                  <c:v>54</c:v>
                </c:pt>
                <c:pt idx="45">
                  <c:v>68</c:v>
                </c:pt>
                <c:pt idx="46">
                  <c:v>59</c:v>
                </c:pt>
                <c:pt idx="47">
                  <c:v>61</c:v>
                </c:pt>
                <c:pt idx="48">
                  <c:v>58</c:v>
                </c:pt>
                <c:pt idx="49">
                  <c:v>67</c:v>
                </c:pt>
                <c:pt idx="50">
                  <c:v>62</c:v>
                </c:pt>
                <c:pt idx="51">
                  <c:v>53</c:v>
                </c:pt>
                <c:pt idx="52">
                  <c:v>60</c:v>
                </c:pt>
                <c:pt idx="53">
                  <c:v>67</c:v>
                </c:pt>
                <c:pt idx="54">
                  <c:v>67</c:v>
                </c:pt>
                <c:pt idx="55">
                  <c:v>61</c:v>
                </c:pt>
                <c:pt idx="56">
                  <c:v>63</c:v>
                </c:pt>
                <c:pt idx="57">
                  <c:v>61</c:v>
                </c:pt>
                <c:pt idx="58">
                  <c:v>54</c:v>
                </c:pt>
                <c:pt idx="59">
                  <c:v>72</c:v>
                </c:pt>
                <c:pt idx="60">
                  <c:v>54</c:v>
                </c:pt>
                <c:pt idx="61">
                  <c:v>66</c:v>
                </c:pt>
                <c:pt idx="62">
                  <c:v>61</c:v>
                </c:pt>
                <c:pt idx="63">
                  <c:v>58</c:v>
                </c:pt>
                <c:pt idx="64">
                  <c:v>64</c:v>
                </c:pt>
                <c:pt idx="65">
                  <c:v>62</c:v>
                </c:pt>
                <c:pt idx="66">
                  <c:v>46</c:v>
                </c:pt>
                <c:pt idx="67">
                  <c:v>49</c:v>
                </c:pt>
                <c:pt idx="68">
                  <c:v>59</c:v>
                </c:pt>
                <c:pt idx="69">
                  <c:v>60</c:v>
                </c:pt>
                <c:pt idx="70">
                  <c:v>53</c:v>
                </c:pt>
                <c:pt idx="71">
                  <c:v>61</c:v>
                </c:pt>
                <c:pt idx="72">
                  <c:v>58</c:v>
                </c:pt>
                <c:pt idx="73">
                  <c:v>64</c:v>
                </c:pt>
                <c:pt idx="74">
                  <c:v>65</c:v>
                </c:pt>
                <c:pt idx="75">
                  <c:v>74</c:v>
                </c:pt>
                <c:pt idx="76">
                  <c:v>58</c:v>
                </c:pt>
                <c:pt idx="77">
                  <c:v>62</c:v>
                </c:pt>
                <c:pt idx="78">
                  <c:v>69</c:v>
                </c:pt>
                <c:pt idx="79">
                  <c:v>66</c:v>
                </c:pt>
                <c:pt idx="80">
                  <c:v>67</c:v>
                </c:pt>
                <c:pt idx="81">
                  <c:v>71</c:v>
                </c:pt>
                <c:pt idx="82">
                  <c:v>67</c:v>
                </c:pt>
                <c:pt idx="83">
                  <c:v>55</c:v>
                </c:pt>
                <c:pt idx="84">
                  <c:v>58</c:v>
                </c:pt>
                <c:pt idx="85">
                  <c:v>73</c:v>
                </c:pt>
                <c:pt idx="86">
                  <c:v>58</c:v>
                </c:pt>
                <c:pt idx="87">
                  <c:v>76</c:v>
                </c:pt>
                <c:pt idx="88">
                  <c:v>62</c:v>
                </c:pt>
                <c:pt idx="89">
                  <c:v>66</c:v>
                </c:pt>
                <c:pt idx="90">
                  <c:v>59</c:v>
                </c:pt>
                <c:pt idx="91">
                  <c:v>61</c:v>
                </c:pt>
                <c:pt idx="92">
                  <c:v>52</c:v>
                </c:pt>
                <c:pt idx="93">
                  <c:v>69</c:v>
                </c:pt>
                <c:pt idx="94">
                  <c:v>70</c:v>
                </c:pt>
                <c:pt idx="95">
                  <c:v>45</c:v>
                </c:pt>
                <c:pt idx="96">
                  <c:v>77</c:v>
                </c:pt>
                <c:pt idx="97">
                  <c:v>61</c:v>
                </c:pt>
                <c:pt idx="98">
                  <c:v>56</c:v>
                </c:pt>
                <c:pt idx="99">
                  <c:v>66</c:v>
                </c:pt>
                <c:pt idx="100">
                  <c:v>51</c:v>
                </c:pt>
                <c:pt idx="101">
                  <c:v>59</c:v>
                </c:pt>
                <c:pt idx="102">
                  <c:v>65</c:v>
                </c:pt>
                <c:pt idx="103">
                  <c:v>53</c:v>
                </c:pt>
                <c:pt idx="104">
                  <c:v>72</c:v>
                </c:pt>
                <c:pt idx="105">
                  <c:v>62</c:v>
                </c:pt>
                <c:pt idx="106">
                  <c:v>62</c:v>
                </c:pt>
                <c:pt idx="107">
                  <c:v>70</c:v>
                </c:pt>
                <c:pt idx="108">
                  <c:v>62</c:v>
                </c:pt>
                <c:pt idx="109">
                  <c:v>82</c:v>
                </c:pt>
                <c:pt idx="110">
                  <c:v>52</c:v>
                </c:pt>
                <c:pt idx="111">
                  <c:v>65</c:v>
                </c:pt>
                <c:pt idx="112">
                  <c:v>64</c:v>
                </c:pt>
                <c:pt idx="113">
                  <c:v>57</c:v>
                </c:pt>
                <c:pt idx="114">
                  <c:v>58</c:v>
                </c:pt>
                <c:pt idx="115">
                  <c:v>66</c:v>
                </c:pt>
                <c:pt idx="116">
                  <c:v>60</c:v>
                </c:pt>
                <c:pt idx="117">
                  <c:v>55</c:v>
                </c:pt>
                <c:pt idx="118">
                  <c:v>65</c:v>
                </c:pt>
                <c:pt idx="119">
                  <c:v>54</c:v>
                </c:pt>
                <c:pt idx="120">
                  <c:v>66</c:v>
                </c:pt>
                <c:pt idx="121">
                  <c:v>72</c:v>
                </c:pt>
                <c:pt idx="122">
                  <c:v>58</c:v>
                </c:pt>
                <c:pt idx="123">
                  <c:v>55</c:v>
                </c:pt>
                <c:pt idx="124">
                  <c:v>56</c:v>
                </c:pt>
                <c:pt idx="125">
                  <c:v>63</c:v>
                </c:pt>
                <c:pt idx="126">
                  <c:v>69</c:v>
                </c:pt>
                <c:pt idx="127">
                  <c:v>62</c:v>
                </c:pt>
                <c:pt idx="128">
                  <c:v>60</c:v>
                </c:pt>
                <c:pt idx="129">
                  <c:v>60</c:v>
                </c:pt>
                <c:pt idx="130">
                  <c:v>60</c:v>
                </c:pt>
                <c:pt idx="131">
                  <c:v>55</c:v>
                </c:pt>
                <c:pt idx="132">
                  <c:v>62</c:v>
                </c:pt>
                <c:pt idx="133">
                  <c:v>53</c:v>
                </c:pt>
                <c:pt idx="134">
                  <c:v>54</c:v>
                </c:pt>
                <c:pt idx="135">
                  <c:v>46</c:v>
                </c:pt>
                <c:pt idx="136">
                  <c:v>55</c:v>
                </c:pt>
                <c:pt idx="137">
                  <c:v>51</c:v>
                </c:pt>
                <c:pt idx="138">
                  <c:v>58</c:v>
                </c:pt>
                <c:pt idx="139">
                  <c:v>51</c:v>
                </c:pt>
                <c:pt idx="140">
                  <c:v>40</c:v>
                </c:pt>
                <c:pt idx="141">
                  <c:v>50</c:v>
                </c:pt>
                <c:pt idx="142">
                  <c:v>34</c:v>
                </c:pt>
                <c:pt idx="143">
                  <c:v>41</c:v>
                </c:pt>
                <c:pt idx="144">
                  <c:v>39</c:v>
                </c:pt>
                <c:pt idx="145">
                  <c:v>32</c:v>
                </c:pt>
                <c:pt idx="146">
                  <c:v>32</c:v>
                </c:pt>
                <c:pt idx="147">
                  <c:v>31</c:v>
                </c:pt>
                <c:pt idx="148">
                  <c:v>35</c:v>
                </c:pt>
                <c:pt idx="149">
                  <c:v>32</c:v>
                </c:pt>
                <c:pt idx="150">
                  <c:v>23</c:v>
                </c:pt>
                <c:pt idx="151">
                  <c:v>35</c:v>
                </c:pt>
                <c:pt idx="152">
                  <c:v>32</c:v>
                </c:pt>
                <c:pt idx="153">
                  <c:v>25</c:v>
                </c:pt>
                <c:pt idx="154">
                  <c:v>19</c:v>
                </c:pt>
                <c:pt idx="155">
                  <c:v>30</c:v>
                </c:pt>
                <c:pt idx="156">
                  <c:v>23</c:v>
                </c:pt>
                <c:pt idx="157">
                  <c:v>32</c:v>
                </c:pt>
                <c:pt idx="158">
                  <c:v>35</c:v>
                </c:pt>
                <c:pt idx="159">
                  <c:v>29</c:v>
                </c:pt>
                <c:pt idx="160">
                  <c:v>36</c:v>
                </c:pt>
                <c:pt idx="161">
                  <c:v>30</c:v>
                </c:pt>
                <c:pt idx="162">
                  <c:v>25</c:v>
                </c:pt>
                <c:pt idx="163">
                  <c:v>31</c:v>
                </c:pt>
                <c:pt idx="164">
                  <c:v>34</c:v>
                </c:pt>
                <c:pt idx="165">
                  <c:v>22</c:v>
                </c:pt>
                <c:pt idx="166">
                  <c:v>26</c:v>
                </c:pt>
                <c:pt idx="167">
                  <c:v>27</c:v>
                </c:pt>
                <c:pt idx="168">
                  <c:v>28</c:v>
                </c:pt>
                <c:pt idx="169">
                  <c:v>20</c:v>
                </c:pt>
                <c:pt idx="170">
                  <c:v>32</c:v>
                </c:pt>
                <c:pt idx="171">
                  <c:v>28</c:v>
                </c:pt>
                <c:pt idx="172">
                  <c:v>28</c:v>
                </c:pt>
                <c:pt idx="173">
                  <c:v>29</c:v>
                </c:pt>
                <c:pt idx="174">
                  <c:v>36</c:v>
                </c:pt>
                <c:pt idx="175">
                  <c:v>24</c:v>
                </c:pt>
                <c:pt idx="176">
                  <c:v>33</c:v>
                </c:pt>
                <c:pt idx="177">
                  <c:v>26</c:v>
                </c:pt>
                <c:pt idx="178">
                  <c:v>24</c:v>
                </c:pt>
                <c:pt idx="179">
                  <c:v>32</c:v>
                </c:pt>
                <c:pt idx="180">
                  <c:v>29</c:v>
                </c:pt>
                <c:pt idx="181">
                  <c:v>22</c:v>
                </c:pt>
                <c:pt idx="182">
                  <c:v>37</c:v>
                </c:pt>
                <c:pt idx="183">
                  <c:v>24</c:v>
                </c:pt>
                <c:pt idx="184">
                  <c:v>35</c:v>
                </c:pt>
                <c:pt idx="185">
                  <c:v>40</c:v>
                </c:pt>
                <c:pt idx="186">
                  <c:v>46</c:v>
                </c:pt>
                <c:pt idx="187">
                  <c:v>36</c:v>
                </c:pt>
                <c:pt idx="188">
                  <c:v>46</c:v>
                </c:pt>
                <c:pt idx="189">
                  <c:v>35</c:v>
                </c:pt>
                <c:pt idx="190">
                  <c:v>53</c:v>
                </c:pt>
                <c:pt idx="191">
                  <c:v>53</c:v>
                </c:pt>
                <c:pt idx="192">
                  <c:v>52</c:v>
                </c:pt>
                <c:pt idx="193">
                  <c:v>65</c:v>
                </c:pt>
                <c:pt idx="194">
                  <c:v>52</c:v>
                </c:pt>
                <c:pt idx="195">
                  <c:v>62</c:v>
                </c:pt>
                <c:pt idx="196">
                  <c:v>77</c:v>
                </c:pt>
                <c:pt idx="197">
                  <c:v>61</c:v>
                </c:pt>
                <c:pt idx="198">
                  <c:v>70</c:v>
                </c:pt>
                <c:pt idx="199">
                  <c:v>66</c:v>
                </c:pt>
                <c:pt idx="200">
                  <c:v>73</c:v>
                </c:pt>
                <c:pt idx="201">
                  <c:v>73</c:v>
                </c:pt>
                <c:pt idx="202">
                  <c:v>80</c:v>
                </c:pt>
                <c:pt idx="203">
                  <c:v>75</c:v>
                </c:pt>
                <c:pt idx="204">
                  <c:v>90</c:v>
                </c:pt>
                <c:pt idx="205">
                  <c:v>78</c:v>
                </c:pt>
                <c:pt idx="206">
                  <c:v>90</c:v>
                </c:pt>
                <c:pt idx="207">
                  <c:v>88</c:v>
                </c:pt>
                <c:pt idx="208">
                  <c:v>83</c:v>
                </c:pt>
                <c:pt idx="209">
                  <c:v>92</c:v>
                </c:pt>
                <c:pt idx="210">
                  <c:v>99</c:v>
                </c:pt>
                <c:pt idx="211">
                  <c:v>93</c:v>
                </c:pt>
                <c:pt idx="212">
                  <c:v>115</c:v>
                </c:pt>
                <c:pt idx="213">
                  <c:v>108</c:v>
                </c:pt>
                <c:pt idx="214">
                  <c:v>112</c:v>
                </c:pt>
                <c:pt idx="215">
                  <c:v>86</c:v>
                </c:pt>
                <c:pt idx="216">
                  <c:v>98</c:v>
                </c:pt>
                <c:pt idx="217">
                  <c:v>100</c:v>
                </c:pt>
                <c:pt idx="218">
                  <c:v>95</c:v>
                </c:pt>
                <c:pt idx="219">
                  <c:v>98</c:v>
                </c:pt>
                <c:pt idx="220">
                  <c:v>90</c:v>
                </c:pt>
                <c:pt idx="221">
                  <c:v>107</c:v>
                </c:pt>
                <c:pt idx="222">
                  <c:v>101</c:v>
                </c:pt>
                <c:pt idx="223">
                  <c:v>104</c:v>
                </c:pt>
                <c:pt idx="224">
                  <c:v>98</c:v>
                </c:pt>
                <c:pt idx="225">
                  <c:v>101</c:v>
                </c:pt>
                <c:pt idx="226">
                  <c:v>94</c:v>
                </c:pt>
                <c:pt idx="227">
                  <c:v>108</c:v>
                </c:pt>
                <c:pt idx="228">
                  <c:v>103</c:v>
                </c:pt>
                <c:pt idx="229">
                  <c:v>95</c:v>
                </c:pt>
                <c:pt idx="230">
                  <c:v>107</c:v>
                </c:pt>
                <c:pt idx="231">
                  <c:v>116</c:v>
                </c:pt>
                <c:pt idx="232">
                  <c:v>109</c:v>
                </c:pt>
                <c:pt idx="233">
                  <c:v>84</c:v>
                </c:pt>
                <c:pt idx="234">
                  <c:v>98</c:v>
                </c:pt>
                <c:pt idx="235">
                  <c:v>115</c:v>
                </c:pt>
                <c:pt idx="236">
                  <c:v>95</c:v>
                </c:pt>
                <c:pt idx="237">
                  <c:v>106</c:v>
                </c:pt>
                <c:pt idx="238">
                  <c:v>118</c:v>
                </c:pt>
                <c:pt idx="239">
                  <c:v>127</c:v>
                </c:pt>
                <c:pt idx="240">
                  <c:v>104</c:v>
                </c:pt>
                <c:pt idx="241">
                  <c:v>131</c:v>
                </c:pt>
                <c:pt idx="242">
                  <c:v>130</c:v>
                </c:pt>
                <c:pt idx="243">
                  <c:v>138</c:v>
                </c:pt>
                <c:pt idx="244">
                  <c:v>167</c:v>
                </c:pt>
                <c:pt idx="245">
                  <c:v>170</c:v>
                </c:pt>
                <c:pt idx="246">
                  <c:v>165</c:v>
                </c:pt>
                <c:pt idx="247">
                  <c:v>149</c:v>
                </c:pt>
                <c:pt idx="248">
                  <c:v>151</c:v>
                </c:pt>
                <c:pt idx="249">
                  <c:v>173</c:v>
                </c:pt>
                <c:pt idx="250">
                  <c:v>150</c:v>
                </c:pt>
                <c:pt idx="251">
                  <c:v>162</c:v>
                </c:pt>
                <c:pt idx="252">
                  <c:v>175</c:v>
                </c:pt>
                <c:pt idx="253">
                  <c:v>176</c:v>
                </c:pt>
                <c:pt idx="254">
                  <c:v>180</c:v>
                </c:pt>
                <c:pt idx="255">
                  <c:v>168</c:v>
                </c:pt>
                <c:pt idx="256">
                  <c:v>185</c:v>
                </c:pt>
                <c:pt idx="257">
                  <c:v>181</c:v>
                </c:pt>
                <c:pt idx="258">
                  <c:v>172</c:v>
                </c:pt>
                <c:pt idx="259">
                  <c:v>187</c:v>
                </c:pt>
                <c:pt idx="260">
                  <c:v>218</c:v>
                </c:pt>
                <c:pt idx="261">
                  <c:v>184</c:v>
                </c:pt>
                <c:pt idx="262">
                  <c:v>194</c:v>
                </c:pt>
                <c:pt idx="263">
                  <c:v>131</c:v>
                </c:pt>
                <c:pt idx="264">
                  <c:v>176</c:v>
                </c:pt>
                <c:pt idx="265">
                  <c:v>136</c:v>
                </c:pt>
                <c:pt idx="266">
                  <c:v>153</c:v>
                </c:pt>
                <c:pt idx="267">
                  <c:v>159</c:v>
                </c:pt>
                <c:pt idx="268">
                  <c:v>143</c:v>
                </c:pt>
                <c:pt idx="269">
                  <c:v>156</c:v>
                </c:pt>
                <c:pt idx="270">
                  <c:v>151</c:v>
                </c:pt>
                <c:pt idx="271">
                  <c:v>148</c:v>
                </c:pt>
                <c:pt idx="272">
                  <c:v>184</c:v>
                </c:pt>
                <c:pt idx="273">
                  <c:v>204</c:v>
                </c:pt>
                <c:pt idx="274">
                  <c:v>215</c:v>
                </c:pt>
                <c:pt idx="275">
                  <c:v>198</c:v>
                </c:pt>
                <c:pt idx="276">
                  <c:v>199</c:v>
                </c:pt>
                <c:pt idx="277">
                  <c:v>188</c:v>
                </c:pt>
                <c:pt idx="278">
                  <c:v>197</c:v>
                </c:pt>
                <c:pt idx="279">
                  <c:v>192</c:v>
                </c:pt>
                <c:pt idx="280">
                  <c:v>200</c:v>
                </c:pt>
                <c:pt idx="281">
                  <c:v>192</c:v>
                </c:pt>
                <c:pt idx="282">
                  <c:v>172</c:v>
                </c:pt>
                <c:pt idx="283">
                  <c:v>160</c:v>
                </c:pt>
                <c:pt idx="284">
                  <c:v>168</c:v>
                </c:pt>
                <c:pt idx="285">
                  <c:v>171</c:v>
                </c:pt>
                <c:pt idx="286">
                  <c:v>154</c:v>
                </c:pt>
                <c:pt idx="287">
                  <c:v>146</c:v>
                </c:pt>
                <c:pt idx="288">
                  <c:v>166</c:v>
                </c:pt>
                <c:pt idx="289">
                  <c:v>134</c:v>
                </c:pt>
                <c:pt idx="290">
                  <c:v>149</c:v>
                </c:pt>
                <c:pt idx="291">
                  <c:v>132</c:v>
                </c:pt>
                <c:pt idx="292">
                  <c:v>131</c:v>
                </c:pt>
                <c:pt idx="293">
                  <c:v>104</c:v>
                </c:pt>
                <c:pt idx="294">
                  <c:v>105</c:v>
                </c:pt>
                <c:pt idx="295">
                  <c:v>105</c:v>
                </c:pt>
                <c:pt idx="296">
                  <c:v>90</c:v>
                </c:pt>
                <c:pt idx="297">
                  <c:v>101</c:v>
                </c:pt>
                <c:pt idx="298">
                  <c:v>92</c:v>
                </c:pt>
                <c:pt idx="299">
                  <c:v>68</c:v>
                </c:pt>
                <c:pt idx="300">
                  <c:v>75</c:v>
                </c:pt>
                <c:pt idx="301">
                  <c:v>73</c:v>
                </c:pt>
                <c:pt idx="302">
                  <c:v>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E6-486C-9A45-F8FBC997A94C}"/>
            </c:ext>
          </c:extLst>
        </c:ser>
        <c:ser>
          <c:idx val="1"/>
          <c:order val="1"/>
          <c:tx>
            <c:strRef>
              <c:f>DAU!$E$1</c:f>
              <c:strCache>
                <c:ptCount val="1"/>
                <c:pt idx="0">
                  <c:v>wau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DAU!$C:$C</c:f>
              <c:strCache>
                <c:ptCount val="304"/>
                <c:pt idx="0">
                  <c:v>day</c:v>
                </c:pt>
                <c:pt idx="1">
                  <c:v>02.07.22</c:v>
                </c:pt>
                <c:pt idx="2">
                  <c:v>03.07.22</c:v>
                </c:pt>
                <c:pt idx="3">
                  <c:v>04.07.22</c:v>
                </c:pt>
                <c:pt idx="4">
                  <c:v>05.07.22</c:v>
                </c:pt>
                <c:pt idx="5">
                  <c:v>06.07.22</c:v>
                </c:pt>
                <c:pt idx="6">
                  <c:v>07.07.22</c:v>
                </c:pt>
                <c:pt idx="7">
                  <c:v>08.07.22</c:v>
                </c:pt>
                <c:pt idx="8">
                  <c:v>09.07.22</c:v>
                </c:pt>
                <c:pt idx="9">
                  <c:v>10.07.22</c:v>
                </c:pt>
                <c:pt idx="10">
                  <c:v>11.07.22</c:v>
                </c:pt>
                <c:pt idx="11">
                  <c:v>12.07.22</c:v>
                </c:pt>
                <c:pt idx="12">
                  <c:v>13.07.22</c:v>
                </c:pt>
                <c:pt idx="13">
                  <c:v>14.07.22</c:v>
                </c:pt>
                <c:pt idx="14">
                  <c:v>15.07.22</c:v>
                </c:pt>
                <c:pt idx="15">
                  <c:v>16.07.22</c:v>
                </c:pt>
                <c:pt idx="16">
                  <c:v>17.07.22</c:v>
                </c:pt>
                <c:pt idx="17">
                  <c:v>18.07.22</c:v>
                </c:pt>
                <c:pt idx="18">
                  <c:v>19.07.22</c:v>
                </c:pt>
                <c:pt idx="19">
                  <c:v>20.07.22</c:v>
                </c:pt>
                <c:pt idx="20">
                  <c:v>21.07.22</c:v>
                </c:pt>
                <c:pt idx="21">
                  <c:v>22.07.22</c:v>
                </c:pt>
                <c:pt idx="22">
                  <c:v>23.07.22</c:v>
                </c:pt>
                <c:pt idx="23">
                  <c:v>24.07.22</c:v>
                </c:pt>
                <c:pt idx="24">
                  <c:v>25.07.22</c:v>
                </c:pt>
                <c:pt idx="25">
                  <c:v>26.07.22</c:v>
                </c:pt>
                <c:pt idx="26">
                  <c:v>27.07.22</c:v>
                </c:pt>
                <c:pt idx="27">
                  <c:v>28.07.22</c:v>
                </c:pt>
                <c:pt idx="28">
                  <c:v>29.07.22</c:v>
                </c:pt>
                <c:pt idx="29">
                  <c:v>30.07.22</c:v>
                </c:pt>
                <c:pt idx="30">
                  <c:v>31.07.22</c:v>
                </c:pt>
                <c:pt idx="31">
                  <c:v>01.08.22</c:v>
                </c:pt>
                <c:pt idx="32">
                  <c:v>02.08.22</c:v>
                </c:pt>
                <c:pt idx="33">
                  <c:v>03.08.22</c:v>
                </c:pt>
                <c:pt idx="34">
                  <c:v>04.08.22</c:v>
                </c:pt>
                <c:pt idx="35">
                  <c:v>05.08.22</c:v>
                </c:pt>
                <c:pt idx="36">
                  <c:v>06.08.22</c:v>
                </c:pt>
                <c:pt idx="37">
                  <c:v>07.08.22</c:v>
                </c:pt>
                <c:pt idx="38">
                  <c:v>08.08.22</c:v>
                </c:pt>
                <c:pt idx="39">
                  <c:v>09.08.22</c:v>
                </c:pt>
                <c:pt idx="40">
                  <c:v>10.08.22</c:v>
                </c:pt>
                <c:pt idx="41">
                  <c:v>11.08.22</c:v>
                </c:pt>
                <c:pt idx="42">
                  <c:v>12.08.22</c:v>
                </c:pt>
                <c:pt idx="43">
                  <c:v>13.08.22</c:v>
                </c:pt>
                <c:pt idx="44">
                  <c:v>14.08.22</c:v>
                </c:pt>
                <c:pt idx="45">
                  <c:v>15.08.22</c:v>
                </c:pt>
                <c:pt idx="46">
                  <c:v>16.08.22</c:v>
                </c:pt>
                <c:pt idx="47">
                  <c:v>17.08.22</c:v>
                </c:pt>
                <c:pt idx="48">
                  <c:v>18.08.22</c:v>
                </c:pt>
                <c:pt idx="49">
                  <c:v>19.08.22</c:v>
                </c:pt>
                <c:pt idx="50">
                  <c:v>20.08.22</c:v>
                </c:pt>
                <c:pt idx="51">
                  <c:v>21.08.22</c:v>
                </c:pt>
                <c:pt idx="52">
                  <c:v>22.08.22</c:v>
                </c:pt>
                <c:pt idx="53">
                  <c:v>23.08.22</c:v>
                </c:pt>
                <c:pt idx="54">
                  <c:v>24.08.22</c:v>
                </c:pt>
                <c:pt idx="55">
                  <c:v>25.08.22</c:v>
                </c:pt>
                <c:pt idx="56">
                  <c:v>26.08.22</c:v>
                </c:pt>
                <c:pt idx="57">
                  <c:v>27.08.22</c:v>
                </c:pt>
                <c:pt idx="58">
                  <c:v>28.08.22</c:v>
                </c:pt>
                <c:pt idx="59">
                  <c:v>29.08.22</c:v>
                </c:pt>
                <c:pt idx="60">
                  <c:v>30.08.22</c:v>
                </c:pt>
                <c:pt idx="61">
                  <c:v>31.08.22</c:v>
                </c:pt>
                <c:pt idx="62">
                  <c:v>01.09.22</c:v>
                </c:pt>
                <c:pt idx="63">
                  <c:v>02.09.22</c:v>
                </c:pt>
                <c:pt idx="64">
                  <c:v>03.09.22</c:v>
                </c:pt>
                <c:pt idx="65">
                  <c:v>04.09.22</c:v>
                </c:pt>
                <c:pt idx="66">
                  <c:v>05.09.22</c:v>
                </c:pt>
                <c:pt idx="67">
                  <c:v>06.09.22</c:v>
                </c:pt>
                <c:pt idx="68">
                  <c:v>07.09.22</c:v>
                </c:pt>
                <c:pt idx="69">
                  <c:v>08.09.22</c:v>
                </c:pt>
                <c:pt idx="70">
                  <c:v>09.09.22</c:v>
                </c:pt>
                <c:pt idx="71">
                  <c:v>10.09.22</c:v>
                </c:pt>
                <c:pt idx="72">
                  <c:v>11.09.22</c:v>
                </c:pt>
                <c:pt idx="73">
                  <c:v>12.09.22</c:v>
                </c:pt>
                <c:pt idx="74">
                  <c:v>13.09.22</c:v>
                </c:pt>
                <c:pt idx="75">
                  <c:v>14.09.22</c:v>
                </c:pt>
                <c:pt idx="76">
                  <c:v>15.09.22</c:v>
                </c:pt>
                <c:pt idx="77">
                  <c:v>16.09.22</c:v>
                </c:pt>
                <c:pt idx="78">
                  <c:v>17.09.22</c:v>
                </c:pt>
                <c:pt idx="79">
                  <c:v>18.09.22</c:v>
                </c:pt>
                <c:pt idx="80">
                  <c:v>19.09.22</c:v>
                </c:pt>
                <c:pt idx="81">
                  <c:v>20.09.22</c:v>
                </c:pt>
                <c:pt idx="82">
                  <c:v>21.09.22</c:v>
                </c:pt>
                <c:pt idx="83">
                  <c:v>22.09.22</c:v>
                </c:pt>
                <c:pt idx="84">
                  <c:v>23.09.22</c:v>
                </c:pt>
                <c:pt idx="85">
                  <c:v>24.09.22</c:v>
                </c:pt>
                <c:pt idx="86">
                  <c:v>25.09.22</c:v>
                </c:pt>
                <c:pt idx="87">
                  <c:v>26.09.22</c:v>
                </c:pt>
                <c:pt idx="88">
                  <c:v>27.09.22</c:v>
                </c:pt>
                <c:pt idx="89">
                  <c:v>28.09.22</c:v>
                </c:pt>
                <c:pt idx="90">
                  <c:v>29.09.22</c:v>
                </c:pt>
                <c:pt idx="91">
                  <c:v>30.09.22</c:v>
                </c:pt>
                <c:pt idx="92">
                  <c:v>01.10.22</c:v>
                </c:pt>
                <c:pt idx="93">
                  <c:v>02.10.22</c:v>
                </c:pt>
                <c:pt idx="94">
                  <c:v>03.10.22</c:v>
                </c:pt>
                <c:pt idx="95">
                  <c:v>04.10.22</c:v>
                </c:pt>
                <c:pt idx="96">
                  <c:v>05.10.22</c:v>
                </c:pt>
                <c:pt idx="97">
                  <c:v>06.10.22</c:v>
                </c:pt>
                <c:pt idx="98">
                  <c:v>07.10.22</c:v>
                </c:pt>
                <c:pt idx="99">
                  <c:v>08.10.22</c:v>
                </c:pt>
                <c:pt idx="100">
                  <c:v>09.10.22</c:v>
                </c:pt>
                <c:pt idx="101">
                  <c:v>10.10.22</c:v>
                </c:pt>
                <c:pt idx="102">
                  <c:v>11.10.22</c:v>
                </c:pt>
                <c:pt idx="103">
                  <c:v>12.10.22</c:v>
                </c:pt>
                <c:pt idx="104">
                  <c:v>13.10.22</c:v>
                </c:pt>
                <c:pt idx="105">
                  <c:v>14.10.22</c:v>
                </c:pt>
                <c:pt idx="106">
                  <c:v>15.10.22</c:v>
                </c:pt>
                <c:pt idx="107">
                  <c:v>16.10.22</c:v>
                </c:pt>
                <c:pt idx="108">
                  <c:v>17.10.22</c:v>
                </c:pt>
                <c:pt idx="109">
                  <c:v>18.10.22</c:v>
                </c:pt>
                <c:pt idx="110">
                  <c:v>19.10.22</c:v>
                </c:pt>
                <c:pt idx="111">
                  <c:v>20.10.22</c:v>
                </c:pt>
                <c:pt idx="112">
                  <c:v>21.10.22</c:v>
                </c:pt>
                <c:pt idx="113">
                  <c:v>22.10.22</c:v>
                </c:pt>
                <c:pt idx="114">
                  <c:v>23.10.22</c:v>
                </c:pt>
                <c:pt idx="115">
                  <c:v>24.10.22</c:v>
                </c:pt>
                <c:pt idx="116">
                  <c:v>25.10.22</c:v>
                </c:pt>
                <c:pt idx="117">
                  <c:v>26.10.22</c:v>
                </c:pt>
                <c:pt idx="118">
                  <c:v>27.10.22</c:v>
                </c:pt>
                <c:pt idx="119">
                  <c:v>28.10.22</c:v>
                </c:pt>
                <c:pt idx="120">
                  <c:v>29.10.22</c:v>
                </c:pt>
                <c:pt idx="121">
                  <c:v>30.10.22</c:v>
                </c:pt>
                <c:pt idx="122">
                  <c:v>31.10.22</c:v>
                </c:pt>
                <c:pt idx="123">
                  <c:v>01.11.22</c:v>
                </c:pt>
                <c:pt idx="124">
                  <c:v>02.11.22</c:v>
                </c:pt>
                <c:pt idx="125">
                  <c:v>03.11.22</c:v>
                </c:pt>
                <c:pt idx="126">
                  <c:v>04.11.22</c:v>
                </c:pt>
                <c:pt idx="127">
                  <c:v>05.11.22</c:v>
                </c:pt>
                <c:pt idx="128">
                  <c:v>06.11.22</c:v>
                </c:pt>
                <c:pt idx="129">
                  <c:v>07.11.22</c:v>
                </c:pt>
                <c:pt idx="130">
                  <c:v>08.11.22</c:v>
                </c:pt>
                <c:pt idx="131">
                  <c:v>09.11.22</c:v>
                </c:pt>
                <c:pt idx="132">
                  <c:v>10.11.22</c:v>
                </c:pt>
                <c:pt idx="133">
                  <c:v>11.11.22</c:v>
                </c:pt>
                <c:pt idx="134">
                  <c:v>12.11.22</c:v>
                </c:pt>
                <c:pt idx="135">
                  <c:v>13.11.22</c:v>
                </c:pt>
                <c:pt idx="136">
                  <c:v>14.11.22</c:v>
                </c:pt>
                <c:pt idx="137">
                  <c:v>15.11.22</c:v>
                </c:pt>
                <c:pt idx="138">
                  <c:v>16.11.22</c:v>
                </c:pt>
                <c:pt idx="139">
                  <c:v>17.11.22</c:v>
                </c:pt>
                <c:pt idx="140">
                  <c:v>18.11.22</c:v>
                </c:pt>
                <c:pt idx="141">
                  <c:v>19.11.22</c:v>
                </c:pt>
                <c:pt idx="142">
                  <c:v>20.11.22</c:v>
                </c:pt>
                <c:pt idx="143">
                  <c:v>21.11.22</c:v>
                </c:pt>
                <c:pt idx="144">
                  <c:v>22.11.22</c:v>
                </c:pt>
                <c:pt idx="145">
                  <c:v>23.11.22</c:v>
                </c:pt>
                <c:pt idx="146">
                  <c:v>24.11.22</c:v>
                </c:pt>
                <c:pt idx="147">
                  <c:v>25.11.22</c:v>
                </c:pt>
                <c:pt idx="148">
                  <c:v>26.11.22</c:v>
                </c:pt>
                <c:pt idx="149">
                  <c:v>27.11.22</c:v>
                </c:pt>
                <c:pt idx="150">
                  <c:v>28.11.22</c:v>
                </c:pt>
                <c:pt idx="151">
                  <c:v>29.11.22</c:v>
                </c:pt>
                <c:pt idx="152">
                  <c:v>30.11.22</c:v>
                </c:pt>
                <c:pt idx="153">
                  <c:v>01.12.22</c:v>
                </c:pt>
                <c:pt idx="154">
                  <c:v>02.12.22</c:v>
                </c:pt>
                <c:pt idx="155">
                  <c:v>03.12.22</c:v>
                </c:pt>
                <c:pt idx="156">
                  <c:v>04.12.22</c:v>
                </c:pt>
                <c:pt idx="157">
                  <c:v>05.12.22</c:v>
                </c:pt>
                <c:pt idx="158">
                  <c:v>06.12.22</c:v>
                </c:pt>
                <c:pt idx="159">
                  <c:v>07.12.22</c:v>
                </c:pt>
                <c:pt idx="160">
                  <c:v>08.12.22</c:v>
                </c:pt>
                <c:pt idx="161">
                  <c:v>09.12.22</c:v>
                </c:pt>
                <c:pt idx="162">
                  <c:v>10.12.22</c:v>
                </c:pt>
                <c:pt idx="163">
                  <c:v>11.12.22</c:v>
                </c:pt>
                <c:pt idx="164">
                  <c:v>12.12.22</c:v>
                </c:pt>
                <c:pt idx="165">
                  <c:v>13.12.22</c:v>
                </c:pt>
                <c:pt idx="166">
                  <c:v>14.12.22</c:v>
                </c:pt>
                <c:pt idx="167">
                  <c:v>15.12.22</c:v>
                </c:pt>
                <c:pt idx="168">
                  <c:v>16.12.22</c:v>
                </c:pt>
                <c:pt idx="169">
                  <c:v>17.12.22</c:v>
                </c:pt>
                <c:pt idx="170">
                  <c:v>18.12.22</c:v>
                </c:pt>
                <c:pt idx="171">
                  <c:v>19.12.22</c:v>
                </c:pt>
                <c:pt idx="172">
                  <c:v>20.12.22</c:v>
                </c:pt>
                <c:pt idx="173">
                  <c:v>21.12.22</c:v>
                </c:pt>
                <c:pt idx="174">
                  <c:v>22.12.22</c:v>
                </c:pt>
                <c:pt idx="175">
                  <c:v>23.12.22</c:v>
                </c:pt>
                <c:pt idx="176">
                  <c:v>24.12.22</c:v>
                </c:pt>
                <c:pt idx="177">
                  <c:v>25.12.22</c:v>
                </c:pt>
                <c:pt idx="178">
                  <c:v>26.12.22</c:v>
                </c:pt>
                <c:pt idx="179">
                  <c:v>27.12.22</c:v>
                </c:pt>
                <c:pt idx="180">
                  <c:v>28.12.22</c:v>
                </c:pt>
                <c:pt idx="181">
                  <c:v>29.12.22</c:v>
                </c:pt>
                <c:pt idx="182">
                  <c:v>30.12.22</c:v>
                </c:pt>
                <c:pt idx="183">
                  <c:v>31.12.22</c:v>
                </c:pt>
                <c:pt idx="184">
                  <c:v>01.01.23</c:v>
                </c:pt>
                <c:pt idx="185">
                  <c:v>02.01.23</c:v>
                </c:pt>
                <c:pt idx="186">
                  <c:v>03.01.23</c:v>
                </c:pt>
                <c:pt idx="187">
                  <c:v>04.01.23</c:v>
                </c:pt>
                <c:pt idx="188">
                  <c:v>05.01.23</c:v>
                </c:pt>
                <c:pt idx="189">
                  <c:v>06.01.23</c:v>
                </c:pt>
                <c:pt idx="190">
                  <c:v>07.01.23</c:v>
                </c:pt>
                <c:pt idx="191">
                  <c:v>08.01.23</c:v>
                </c:pt>
                <c:pt idx="192">
                  <c:v>09.01.23</c:v>
                </c:pt>
                <c:pt idx="193">
                  <c:v>10.01.23</c:v>
                </c:pt>
                <c:pt idx="194">
                  <c:v>11.01.23</c:v>
                </c:pt>
                <c:pt idx="195">
                  <c:v>12.01.23</c:v>
                </c:pt>
                <c:pt idx="196">
                  <c:v>13.01.23</c:v>
                </c:pt>
                <c:pt idx="197">
                  <c:v>14.01.23</c:v>
                </c:pt>
                <c:pt idx="198">
                  <c:v>15.01.23</c:v>
                </c:pt>
                <c:pt idx="199">
                  <c:v>16.01.23</c:v>
                </c:pt>
                <c:pt idx="200">
                  <c:v>17.01.23</c:v>
                </c:pt>
                <c:pt idx="201">
                  <c:v>18.01.23</c:v>
                </c:pt>
                <c:pt idx="202">
                  <c:v>19.01.23</c:v>
                </c:pt>
                <c:pt idx="203">
                  <c:v>20.01.23</c:v>
                </c:pt>
                <c:pt idx="204">
                  <c:v>21.01.23</c:v>
                </c:pt>
                <c:pt idx="205">
                  <c:v>22.01.23</c:v>
                </c:pt>
                <c:pt idx="206">
                  <c:v>23.01.23</c:v>
                </c:pt>
                <c:pt idx="207">
                  <c:v>24.01.23</c:v>
                </c:pt>
                <c:pt idx="208">
                  <c:v>25.01.23</c:v>
                </c:pt>
                <c:pt idx="209">
                  <c:v>26.01.23</c:v>
                </c:pt>
                <c:pt idx="210">
                  <c:v>27.01.23</c:v>
                </c:pt>
                <c:pt idx="211">
                  <c:v>28.01.23</c:v>
                </c:pt>
                <c:pt idx="212">
                  <c:v>29.01.23</c:v>
                </c:pt>
                <c:pt idx="213">
                  <c:v>30.01.23</c:v>
                </c:pt>
                <c:pt idx="214">
                  <c:v>31.01.23</c:v>
                </c:pt>
                <c:pt idx="215">
                  <c:v>01.02.23</c:v>
                </c:pt>
                <c:pt idx="216">
                  <c:v>02.02.23</c:v>
                </c:pt>
                <c:pt idx="217">
                  <c:v>03.02.23</c:v>
                </c:pt>
                <c:pt idx="218">
                  <c:v>04.02.23</c:v>
                </c:pt>
                <c:pt idx="219">
                  <c:v>05.02.23</c:v>
                </c:pt>
                <c:pt idx="220">
                  <c:v>06.02.23</c:v>
                </c:pt>
                <c:pt idx="221">
                  <c:v>07.02.23</c:v>
                </c:pt>
                <c:pt idx="222">
                  <c:v>08.02.23</c:v>
                </c:pt>
                <c:pt idx="223">
                  <c:v>09.02.23</c:v>
                </c:pt>
                <c:pt idx="224">
                  <c:v>10.02.23</c:v>
                </c:pt>
                <c:pt idx="225">
                  <c:v>11.02.23</c:v>
                </c:pt>
                <c:pt idx="226">
                  <c:v>12.02.23</c:v>
                </c:pt>
                <c:pt idx="227">
                  <c:v>13.02.23</c:v>
                </c:pt>
                <c:pt idx="228">
                  <c:v>14.02.23</c:v>
                </c:pt>
                <c:pt idx="229">
                  <c:v>15.02.23</c:v>
                </c:pt>
                <c:pt idx="230">
                  <c:v>16.02.23</c:v>
                </c:pt>
                <c:pt idx="231">
                  <c:v>17.02.23</c:v>
                </c:pt>
                <c:pt idx="232">
                  <c:v>18.02.23</c:v>
                </c:pt>
                <c:pt idx="233">
                  <c:v>19.02.23</c:v>
                </c:pt>
                <c:pt idx="234">
                  <c:v>20.02.23</c:v>
                </c:pt>
                <c:pt idx="235">
                  <c:v>21.02.23</c:v>
                </c:pt>
                <c:pt idx="236">
                  <c:v>22.02.23</c:v>
                </c:pt>
                <c:pt idx="237">
                  <c:v>23.02.23</c:v>
                </c:pt>
                <c:pt idx="238">
                  <c:v>24.02.23</c:v>
                </c:pt>
                <c:pt idx="239">
                  <c:v>25.02.23</c:v>
                </c:pt>
                <c:pt idx="240">
                  <c:v>26.02.23</c:v>
                </c:pt>
                <c:pt idx="241">
                  <c:v>27.02.23</c:v>
                </c:pt>
                <c:pt idx="242">
                  <c:v>28.02.23</c:v>
                </c:pt>
                <c:pt idx="243">
                  <c:v>01.03.23</c:v>
                </c:pt>
                <c:pt idx="244">
                  <c:v>02.03.23</c:v>
                </c:pt>
                <c:pt idx="245">
                  <c:v>03.03.23</c:v>
                </c:pt>
                <c:pt idx="246">
                  <c:v>04.03.23</c:v>
                </c:pt>
                <c:pt idx="247">
                  <c:v>05.03.23</c:v>
                </c:pt>
                <c:pt idx="248">
                  <c:v>06.03.23</c:v>
                </c:pt>
                <c:pt idx="249">
                  <c:v>07.03.23</c:v>
                </c:pt>
                <c:pt idx="250">
                  <c:v>08.03.23</c:v>
                </c:pt>
                <c:pt idx="251">
                  <c:v>09.03.23</c:v>
                </c:pt>
                <c:pt idx="252">
                  <c:v>10.03.23</c:v>
                </c:pt>
                <c:pt idx="253">
                  <c:v>11.03.23</c:v>
                </c:pt>
                <c:pt idx="254">
                  <c:v>12.03.23</c:v>
                </c:pt>
                <c:pt idx="255">
                  <c:v>13.03.23</c:v>
                </c:pt>
                <c:pt idx="256">
                  <c:v>14.03.23</c:v>
                </c:pt>
                <c:pt idx="257">
                  <c:v>15.03.23</c:v>
                </c:pt>
                <c:pt idx="258">
                  <c:v>16.03.23</c:v>
                </c:pt>
                <c:pt idx="259">
                  <c:v>17.03.23</c:v>
                </c:pt>
                <c:pt idx="260">
                  <c:v>18.03.23</c:v>
                </c:pt>
                <c:pt idx="261">
                  <c:v>19.03.23</c:v>
                </c:pt>
                <c:pt idx="262">
                  <c:v>20.03.23</c:v>
                </c:pt>
                <c:pt idx="263">
                  <c:v>21.03.23</c:v>
                </c:pt>
                <c:pt idx="264">
                  <c:v>22.03.23</c:v>
                </c:pt>
                <c:pt idx="265">
                  <c:v>23.03.23</c:v>
                </c:pt>
                <c:pt idx="266">
                  <c:v>24.03.23</c:v>
                </c:pt>
                <c:pt idx="267">
                  <c:v>25.03.23</c:v>
                </c:pt>
                <c:pt idx="268">
                  <c:v>26.03.23</c:v>
                </c:pt>
                <c:pt idx="269">
                  <c:v>27.03.23</c:v>
                </c:pt>
                <c:pt idx="270">
                  <c:v>28.03.23</c:v>
                </c:pt>
                <c:pt idx="271">
                  <c:v>29.03.23</c:v>
                </c:pt>
                <c:pt idx="272">
                  <c:v>30.03.23</c:v>
                </c:pt>
                <c:pt idx="273">
                  <c:v>31.03.23</c:v>
                </c:pt>
                <c:pt idx="274">
                  <c:v>01.04.23</c:v>
                </c:pt>
                <c:pt idx="275">
                  <c:v>02.04.23</c:v>
                </c:pt>
                <c:pt idx="276">
                  <c:v>03.04.23</c:v>
                </c:pt>
                <c:pt idx="277">
                  <c:v>04.04.23</c:v>
                </c:pt>
                <c:pt idx="278">
                  <c:v>05.04.23</c:v>
                </c:pt>
                <c:pt idx="279">
                  <c:v>06.04.23</c:v>
                </c:pt>
                <c:pt idx="280">
                  <c:v>07.04.23</c:v>
                </c:pt>
                <c:pt idx="281">
                  <c:v>08.04.23</c:v>
                </c:pt>
                <c:pt idx="282">
                  <c:v>09.04.23</c:v>
                </c:pt>
                <c:pt idx="283">
                  <c:v>10.04.23</c:v>
                </c:pt>
                <c:pt idx="284">
                  <c:v>11.04.23</c:v>
                </c:pt>
                <c:pt idx="285">
                  <c:v>12.04.23</c:v>
                </c:pt>
                <c:pt idx="286">
                  <c:v>13.04.23</c:v>
                </c:pt>
                <c:pt idx="287">
                  <c:v>14.04.23</c:v>
                </c:pt>
                <c:pt idx="288">
                  <c:v>15.04.23</c:v>
                </c:pt>
                <c:pt idx="289">
                  <c:v>16.04.23</c:v>
                </c:pt>
                <c:pt idx="290">
                  <c:v>17.04.23</c:v>
                </c:pt>
                <c:pt idx="291">
                  <c:v>18.04.23</c:v>
                </c:pt>
                <c:pt idx="292">
                  <c:v>19.04.23</c:v>
                </c:pt>
                <c:pt idx="293">
                  <c:v>20.04.23</c:v>
                </c:pt>
                <c:pt idx="294">
                  <c:v>21.04.23</c:v>
                </c:pt>
                <c:pt idx="295">
                  <c:v>22.04.23</c:v>
                </c:pt>
                <c:pt idx="296">
                  <c:v>23.04.23</c:v>
                </c:pt>
                <c:pt idx="297">
                  <c:v>24.04.23</c:v>
                </c:pt>
                <c:pt idx="298">
                  <c:v>25.04.23</c:v>
                </c:pt>
                <c:pt idx="299">
                  <c:v>26.04.23</c:v>
                </c:pt>
                <c:pt idx="300">
                  <c:v>27.04.23</c:v>
                </c:pt>
                <c:pt idx="301">
                  <c:v>28.04.23</c:v>
                </c:pt>
                <c:pt idx="302">
                  <c:v>29.04.23</c:v>
                </c:pt>
                <c:pt idx="303">
                  <c:v>30.04.23</c:v>
                </c:pt>
              </c:strCache>
            </c:strRef>
          </c:cat>
          <c:val>
            <c:numRef>
              <c:f>DAU!$E$2:$E$304</c:f>
              <c:numCache>
                <c:formatCode>General</c:formatCode>
                <c:ptCount val="303"/>
                <c:pt idx="0">
                  <c:v>6</c:v>
                </c:pt>
                <c:pt idx="1">
                  <c:v>6</c:v>
                </c:pt>
                <c:pt idx="2">
                  <c:v>59</c:v>
                </c:pt>
                <c:pt idx="3">
                  <c:v>59</c:v>
                </c:pt>
                <c:pt idx="4">
                  <c:v>59</c:v>
                </c:pt>
                <c:pt idx="5">
                  <c:v>59</c:v>
                </c:pt>
                <c:pt idx="6">
                  <c:v>59</c:v>
                </c:pt>
                <c:pt idx="7">
                  <c:v>59</c:v>
                </c:pt>
                <c:pt idx="8">
                  <c:v>59</c:v>
                </c:pt>
                <c:pt idx="9">
                  <c:v>92</c:v>
                </c:pt>
                <c:pt idx="10">
                  <c:v>92</c:v>
                </c:pt>
                <c:pt idx="11">
                  <c:v>92</c:v>
                </c:pt>
                <c:pt idx="12">
                  <c:v>92</c:v>
                </c:pt>
                <c:pt idx="13">
                  <c:v>92</c:v>
                </c:pt>
                <c:pt idx="14">
                  <c:v>92</c:v>
                </c:pt>
                <c:pt idx="15">
                  <c:v>92</c:v>
                </c:pt>
                <c:pt idx="16">
                  <c:v>133</c:v>
                </c:pt>
                <c:pt idx="17">
                  <c:v>133</c:v>
                </c:pt>
                <c:pt idx="18">
                  <c:v>133</c:v>
                </c:pt>
                <c:pt idx="19">
                  <c:v>133</c:v>
                </c:pt>
                <c:pt idx="20">
                  <c:v>133</c:v>
                </c:pt>
                <c:pt idx="21">
                  <c:v>133</c:v>
                </c:pt>
                <c:pt idx="22">
                  <c:v>133</c:v>
                </c:pt>
                <c:pt idx="23">
                  <c:v>183</c:v>
                </c:pt>
                <c:pt idx="24">
                  <c:v>183</c:v>
                </c:pt>
                <c:pt idx="25">
                  <c:v>183</c:v>
                </c:pt>
                <c:pt idx="26">
                  <c:v>183</c:v>
                </c:pt>
                <c:pt idx="27">
                  <c:v>183</c:v>
                </c:pt>
                <c:pt idx="28">
                  <c:v>183</c:v>
                </c:pt>
                <c:pt idx="29">
                  <c:v>183</c:v>
                </c:pt>
                <c:pt idx="30">
                  <c:v>202</c:v>
                </c:pt>
                <c:pt idx="31">
                  <c:v>202</c:v>
                </c:pt>
                <c:pt idx="32">
                  <c:v>202</c:v>
                </c:pt>
                <c:pt idx="33">
                  <c:v>202</c:v>
                </c:pt>
                <c:pt idx="34">
                  <c:v>202</c:v>
                </c:pt>
                <c:pt idx="35">
                  <c:v>202</c:v>
                </c:pt>
                <c:pt idx="36">
                  <c:v>202</c:v>
                </c:pt>
                <c:pt idx="37">
                  <c:v>193</c:v>
                </c:pt>
                <c:pt idx="38">
                  <c:v>193</c:v>
                </c:pt>
                <c:pt idx="39">
                  <c:v>193</c:v>
                </c:pt>
                <c:pt idx="40">
                  <c:v>193</c:v>
                </c:pt>
                <c:pt idx="41">
                  <c:v>193</c:v>
                </c:pt>
                <c:pt idx="42">
                  <c:v>193</c:v>
                </c:pt>
                <c:pt idx="43">
                  <c:v>193</c:v>
                </c:pt>
                <c:pt idx="44">
                  <c:v>201</c:v>
                </c:pt>
                <c:pt idx="45">
                  <c:v>201</c:v>
                </c:pt>
                <c:pt idx="46">
                  <c:v>201</c:v>
                </c:pt>
                <c:pt idx="47">
                  <c:v>201</c:v>
                </c:pt>
                <c:pt idx="48">
                  <c:v>201</c:v>
                </c:pt>
                <c:pt idx="49">
                  <c:v>201</c:v>
                </c:pt>
                <c:pt idx="50">
                  <c:v>201</c:v>
                </c:pt>
                <c:pt idx="51">
                  <c:v>206</c:v>
                </c:pt>
                <c:pt idx="52">
                  <c:v>206</c:v>
                </c:pt>
                <c:pt idx="53">
                  <c:v>206</c:v>
                </c:pt>
                <c:pt idx="54">
                  <c:v>206</c:v>
                </c:pt>
                <c:pt idx="55">
                  <c:v>206</c:v>
                </c:pt>
                <c:pt idx="56">
                  <c:v>206</c:v>
                </c:pt>
                <c:pt idx="57">
                  <c:v>206</c:v>
                </c:pt>
                <c:pt idx="58">
                  <c:v>192</c:v>
                </c:pt>
                <c:pt idx="59">
                  <c:v>192</c:v>
                </c:pt>
                <c:pt idx="60">
                  <c:v>192</c:v>
                </c:pt>
                <c:pt idx="61">
                  <c:v>192</c:v>
                </c:pt>
                <c:pt idx="62">
                  <c:v>192</c:v>
                </c:pt>
                <c:pt idx="63">
                  <c:v>192</c:v>
                </c:pt>
                <c:pt idx="64">
                  <c:v>192</c:v>
                </c:pt>
                <c:pt idx="65">
                  <c:v>196</c:v>
                </c:pt>
                <c:pt idx="66">
                  <c:v>196</c:v>
                </c:pt>
                <c:pt idx="67">
                  <c:v>196</c:v>
                </c:pt>
                <c:pt idx="68">
                  <c:v>196</c:v>
                </c:pt>
                <c:pt idx="69">
                  <c:v>196</c:v>
                </c:pt>
                <c:pt idx="70">
                  <c:v>196</c:v>
                </c:pt>
                <c:pt idx="71">
                  <c:v>196</c:v>
                </c:pt>
                <c:pt idx="72">
                  <c:v>205</c:v>
                </c:pt>
                <c:pt idx="73">
                  <c:v>205</c:v>
                </c:pt>
                <c:pt idx="74">
                  <c:v>205</c:v>
                </c:pt>
                <c:pt idx="75">
                  <c:v>205</c:v>
                </c:pt>
                <c:pt idx="76">
                  <c:v>205</c:v>
                </c:pt>
                <c:pt idx="77">
                  <c:v>205</c:v>
                </c:pt>
                <c:pt idx="78">
                  <c:v>205</c:v>
                </c:pt>
                <c:pt idx="79">
                  <c:v>213</c:v>
                </c:pt>
                <c:pt idx="80">
                  <c:v>213</c:v>
                </c:pt>
                <c:pt idx="81">
                  <c:v>213</c:v>
                </c:pt>
                <c:pt idx="82">
                  <c:v>213</c:v>
                </c:pt>
                <c:pt idx="83">
                  <c:v>213</c:v>
                </c:pt>
                <c:pt idx="84">
                  <c:v>213</c:v>
                </c:pt>
                <c:pt idx="85">
                  <c:v>213</c:v>
                </c:pt>
                <c:pt idx="86">
                  <c:v>208</c:v>
                </c:pt>
                <c:pt idx="87">
                  <c:v>208</c:v>
                </c:pt>
                <c:pt idx="88">
                  <c:v>208</c:v>
                </c:pt>
                <c:pt idx="89">
                  <c:v>208</c:v>
                </c:pt>
                <c:pt idx="90">
                  <c:v>208</c:v>
                </c:pt>
                <c:pt idx="91">
                  <c:v>208</c:v>
                </c:pt>
                <c:pt idx="92">
                  <c:v>208</c:v>
                </c:pt>
                <c:pt idx="93">
                  <c:v>207</c:v>
                </c:pt>
                <c:pt idx="94">
                  <c:v>207</c:v>
                </c:pt>
                <c:pt idx="95">
                  <c:v>207</c:v>
                </c:pt>
                <c:pt idx="96">
                  <c:v>207</c:v>
                </c:pt>
                <c:pt idx="97">
                  <c:v>207</c:v>
                </c:pt>
                <c:pt idx="98">
                  <c:v>207</c:v>
                </c:pt>
                <c:pt idx="99">
                  <c:v>207</c:v>
                </c:pt>
                <c:pt idx="100">
                  <c:v>204</c:v>
                </c:pt>
                <c:pt idx="101">
                  <c:v>204</c:v>
                </c:pt>
                <c:pt idx="102">
                  <c:v>204</c:v>
                </c:pt>
                <c:pt idx="103">
                  <c:v>204</c:v>
                </c:pt>
                <c:pt idx="104">
                  <c:v>204</c:v>
                </c:pt>
                <c:pt idx="105">
                  <c:v>204</c:v>
                </c:pt>
                <c:pt idx="106">
                  <c:v>204</c:v>
                </c:pt>
                <c:pt idx="107">
                  <c:v>201</c:v>
                </c:pt>
                <c:pt idx="108">
                  <c:v>201</c:v>
                </c:pt>
                <c:pt idx="109">
                  <c:v>201</c:v>
                </c:pt>
                <c:pt idx="110">
                  <c:v>201</c:v>
                </c:pt>
                <c:pt idx="111">
                  <c:v>201</c:v>
                </c:pt>
                <c:pt idx="112">
                  <c:v>201</c:v>
                </c:pt>
                <c:pt idx="113">
                  <c:v>201</c:v>
                </c:pt>
                <c:pt idx="114">
                  <c:v>213</c:v>
                </c:pt>
                <c:pt idx="115">
                  <c:v>213</c:v>
                </c:pt>
                <c:pt idx="116">
                  <c:v>213</c:v>
                </c:pt>
                <c:pt idx="117">
                  <c:v>213</c:v>
                </c:pt>
                <c:pt idx="118">
                  <c:v>213</c:v>
                </c:pt>
                <c:pt idx="119">
                  <c:v>213</c:v>
                </c:pt>
                <c:pt idx="120">
                  <c:v>213</c:v>
                </c:pt>
                <c:pt idx="121">
                  <c:v>214</c:v>
                </c:pt>
                <c:pt idx="122">
                  <c:v>214</c:v>
                </c:pt>
                <c:pt idx="123">
                  <c:v>214</c:v>
                </c:pt>
                <c:pt idx="124">
                  <c:v>214</c:v>
                </c:pt>
                <c:pt idx="125">
                  <c:v>214</c:v>
                </c:pt>
                <c:pt idx="126">
                  <c:v>214</c:v>
                </c:pt>
                <c:pt idx="127">
                  <c:v>214</c:v>
                </c:pt>
                <c:pt idx="128">
                  <c:v>203</c:v>
                </c:pt>
                <c:pt idx="129">
                  <c:v>203</c:v>
                </c:pt>
                <c:pt idx="130">
                  <c:v>203</c:v>
                </c:pt>
                <c:pt idx="131">
                  <c:v>203</c:v>
                </c:pt>
                <c:pt idx="132">
                  <c:v>203</c:v>
                </c:pt>
                <c:pt idx="133">
                  <c:v>203</c:v>
                </c:pt>
                <c:pt idx="134">
                  <c:v>203</c:v>
                </c:pt>
                <c:pt idx="135">
                  <c:v>202</c:v>
                </c:pt>
                <c:pt idx="136">
                  <c:v>202</c:v>
                </c:pt>
                <c:pt idx="137">
                  <c:v>202</c:v>
                </c:pt>
                <c:pt idx="138">
                  <c:v>202</c:v>
                </c:pt>
                <c:pt idx="139">
                  <c:v>202</c:v>
                </c:pt>
                <c:pt idx="140">
                  <c:v>202</c:v>
                </c:pt>
                <c:pt idx="141">
                  <c:v>202</c:v>
                </c:pt>
                <c:pt idx="142">
                  <c:v>167</c:v>
                </c:pt>
                <c:pt idx="143">
                  <c:v>167</c:v>
                </c:pt>
                <c:pt idx="144">
                  <c:v>167</c:v>
                </c:pt>
                <c:pt idx="145">
                  <c:v>167</c:v>
                </c:pt>
                <c:pt idx="146">
                  <c:v>167</c:v>
                </c:pt>
                <c:pt idx="147">
                  <c:v>167</c:v>
                </c:pt>
                <c:pt idx="148">
                  <c:v>167</c:v>
                </c:pt>
                <c:pt idx="149">
                  <c:v>157</c:v>
                </c:pt>
                <c:pt idx="150">
                  <c:v>157</c:v>
                </c:pt>
                <c:pt idx="151">
                  <c:v>157</c:v>
                </c:pt>
                <c:pt idx="152">
                  <c:v>157</c:v>
                </c:pt>
                <c:pt idx="153">
                  <c:v>157</c:v>
                </c:pt>
                <c:pt idx="154">
                  <c:v>157</c:v>
                </c:pt>
                <c:pt idx="155">
                  <c:v>157</c:v>
                </c:pt>
                <c:pt idx="156">
                  <c:v>156</c:v>
                </c:pt>
                <c:pt idx="157">
                  <c:v>156</c:v>
                </c:pt>
                <c:pt idx="158">
                  <c:v>156</c:v>
                </c:pt>
                <c:pt idx="159">
                  <c:v>156</c:v>
                </c:pt>
                <c:pt idx="160">
                  <c:v>156</c:v>
                </c:pt>
                <c:pt idx="161">
                  <c:v>156</c:v>
                </c:pt>
                <c:pt idx="162">
                  <c:v>156</c:v>
                </c:pt>
                <c:pt idx="163">
                  <c:v>153</c:v>
                </c:pt>
                <c:pt idx="164">
                  <c:v>153</c:v>
                </c:pt>
                <c:pt idx="165">
                  <c:v>153</c:v>
                </c:pt>
                <c:pt idx="166">
                  <c:v>153</c:v>
                </c:pt>
                <c:pt idx="167">
                  <c:v>153</c:v>
                </c:pt>
                <c:pt idx="168">
                  <c:v>153</c:v>
                </c:pt>
                <c:pt idx="169">
                  <c:v>153</c:v>
                </c:pt>
                <c:pt idx="170">
                  <c:v>145</c:v>
                </c:pt>
                <c:pt idx="171">
                  <c:v>145</c:v>
                </c:pt>
                <c:pt idx="172">
                  <c:v>145</c:v>
                </c:pt>
                <c:pt idx="173">
                  <c:v>145</c:v>
                </c:pt>
                <c:pt idx="174">
                  <c:v>145</c:v>
                </c:pt>
                <c:pt idx="175">
                  <c:v>145</c:v>
                </c:pt>
                <c:pt idx="176">
                  <c:v>145</c:v>
                </c:pt>
                <c:pt idx="177">
                  <c:v>141</c:v>
                </c:pt>
                <c:pt idx="178">
                  <c:v>141</c:v>
                </c:pt>
                <c:pt idx="179">
                  <c:v>141</c:v>
                </c:pt>
                <c:pt idx="180">
                  <c:v>141</c:v>
                </c:pt>
                <c:pt idx="181">
                  <c:v>141</c:v>
                </c:pt>
                <c:pt idx="182">
                  <c:v>141</c:v>
                </c:pt>
                <c:pt idx="183">
                  <c:v>141</c:v>
                </c:pt>
                <c:pt idx="184">
                  <c:v>190</c:v>
                </c:pt>
                <c:pt idx="185">
                  <c:v>190</c:v>
                </c:pt>
                <c:pt idx="186">
                  <c:v>190</c:v>
                </c:pt>
                <c:pt idx="187">
                  <c:v>190</c:v>
                </c:pt>
                <c:pt idx="188">
                  <c:v>190</c:v>
                </c:pt>
                <c:pt idx="189">
                  <c:v>190</c:v>
                </c:pt>
                <c:pt idx="190">
                  <c:v>190</c:v>
                </c:pt>
                <c:pt idx="191">
                  <c:v>233</c:v>
                </c:pt>
                <c:pt idx="192">
                  <c:v>233</c:v>
                </c:pt>
                <c:pt idx="193">
                  <c:v>233</c:v>
                </c:pt>
                <c:pt idx="194">
                  <c:v>233</c:v>
                </c:pt>
                <c:pt idx="195">
                  <c:v>233</c:v>
                </c:pt>
                <c:pt idx="196">
                  <c:v>233</c:v>
                </c:pt>
                <c:pt idx="197">
                  <c:v>233</c:v>
                </c:pt>
                <c:pt idx="198">
                  <c:v>272</c:v>
                </c:pt>
                <c:pt idx="199">
                  <c:v>272</c:v>
                </c:pt>
                <c:pt idx="200">
                  <c:v>272</c:v>
                </c:pt>
                <c:pt idx="201">
                  <c:v>272</c:v>
                </c:pt>
                <c:pt idx="202">
                  <c:v>272</c:v>
                </c:pt>
                <c:pt idx="203">
                  <c:v>272</c:v>
                </c:pt>
                <c:pt idx="204">
                  <c:v>272</c:v>
                </c:pt>
                <c:pt idx="205">
                  <c:v>295</c:v>
                </c:pt>
                <c:pt idx="206">
                  <c:v>295</c:v>
                </c:pt>
                <c:pt idx="207">
                  <c:v>295</c:v>
                </c:pt>
                <c:pt idx="208">
                  <c:v>295</c:v>
                </c:pt>
                <c:pt idx="209">
                  <c:v>295</c:v>
                </c:pt>
                <c:pt idx="210">
                  <c:v>295</c:v>
                </c:pt>
                <c:pt idx="211">
                  <c:v>295</c:v>
                </c:pt>
                <c:pt idx="212">
                  <c:v>346</c:v>
                </c:pt>
                <c:pt idx="213">
                  <c:v>346</c:v>
                </c:pt>
                <c:pt idx="214">
                  <c:v>346</c:v>
                </c:pt>
                <c:pt idx="215">
                  <c:v>346</c:v>
                </c:pt>
                <c:pt idx="216">
                  <c:v>346</c:v>
                </c:pt>
                <c:pt idx="217">
                  <c:v>346</c:v>
                </c:pt>
                <c:pt idx="218">
                  <c:v>346</c:v>
                </c:pt>
                <c:pt idx="219">
                  <c:v>340</c:v>
                </c:pt>
                <c:pt idx="220">
                  <c:v>340</c:v>
                </c:pt>
                <c:pt idx="221">
                  <c:v>340</c:v>
                </c:pt>
                <c:pt idx="222">
                  <c:v>340</c:v>
                </c:pt>
                <c:pt idx="223">
                  <c:v>340</c:v>
                </c:pt>
                <c:pt idx="224">
                  <c:v>340</c:v>
                </c:pt>
                <c:pt idx="225">
                  <c:v>340</c:v>
                </c:pt>
                <c:pt idx="226">
                  <c:v>347</c:v>
                </c:pt>
                <c:pt idx="227">
                  <c:v>347</c:v>
                </c:pt>
                <c:pt idx="228">
                  <c:v>347</c:v>
                </c:pt>
                <c:pt idx="229">
                  <c:v>347</c:v>
                </c:pt>
                <c:pt idx="230">
                  <c:v>347</c:v>
                </c:pt>
                <c:pt idx="231">
                  <c:v>347</c:v>
                </c:pt>
                <c:pt idx="232">
                  <c:v>347</c:v>
                </c:pt>
                <c:pt idx="233">
                  <c:v>384</c:v>
                </c:pt>
                <c:pt idx="234">
                  <c:v>384</c:v>
                </c:pt>
                <c:pt idx="235">
                  <c:v>384</c:v>
                </c:pt>
                <c:pt idx="236">
                  <c:v>384</c:v>
                </c:pt>
                <c:pt idx="237">
                  <c:v>384</c:v>
                </c:pt>
                <c:pt idx="238">
                  <c:v>384</c:v>
                </c:pt>
                <c:pt idx="239">
                  <c:v>384</c:v>
                </c:pt>
                <c:pt idx="240">
                  <c:v>611</c:v>
                </c:pt>
                <c:pt idx="241">
                  <c:v>611</c:v>
                </c:pt>
                <c:pt idx="242">
                  <c:v>611</c:v>
                </c:pt>
                <c:pt idx="243">
                  <c:v>611</c:v>
                </c:pt>
                <c:pt idx="244">
                  <c:v>611</c:v>
                </c:pt>
                <c:pt idx="245">
                  <c:v>611</c:v>
                </c:pt>
                <c:pt idx="246">
                  <c:v>611</c:v>
                </c:pt>
                <c:pt idx="247">
                  <c:v>712</c:v>
                </c:pt>
                <c:pt idx="248">
                  <c:v>712</c:v>
                </c:pt>
                <c:pt idx="249">
                  <c:v>712</c:v>
                </c:pt>
                <c:pt idx="250">
                  <c:v>712</c:v>
                </c:pt>
                <c:pt idx="251">
                  <c:v>712</c:v>
                </c:pt>
                <c:pt idx="252">
                  <c:v>712</c:v>
                </c:pt>
                <c:pt idx="253">
                  <c:v>712</c:v>
                </c:pt>
                <c:pt idx="254">
                  <c:v>772</c:v>
                </c:pt>
                <c:pt idx="255">
                  <c:v>772</c:v>
                </c:pt>
                <c:pt idx="256">
                  <c:v>772</c:v>
                </c:pt>
                <c:pt idx="257">
                  <c:v>772</c:v>
                </c:pt>
                <c:pt idx="258">
                  <c:v>772</c:v>
                </c:pt>
                <c:pt idx="259">
                  <c:v>772</c:v>
                </c:pt>
                <c:pt idx="260">
                  <c:v>772</c:v>
                </c:pt>
                <c:pt idx="261">
                  <c:v>656</c:v>
                </c:pt>
                <c:pt idx="262">
                  <c:v>656</c:v>
                </c:pt>
                <c:pt idx="263">
                  <c:v>656</c:v>
                </c:pt>
                <c:pt idx="264">
                  <c:v>656</c:v>
                </c:pt>
                <c:pt idx="265">
                  <c:v>656</c:v>
                </c:pt>
                <c:pt idx="266">
                  <c:v>656</c:v>
                </c:pt>
                <c:pt idx="267">
                  <c:v>656</c:v>
                </c:pt>
                <c:pt idx="268">
                  <c:v>661</c:v>
                </c:pt>
                <c:pt idx="269">
                  <c:v>661</c:v>
                </c:pt>
                <c:pt idx="270">
                  <c:v>661</c:v>
                </c:pt>
                <c:pt idx="271">
                  <c:v>661</c:v>
                </c:pt>
                <c:pt idx="272">
                  <c:v>661</c:v>
                </c:pt>
                <c:pt idx="273">
                  <c:v>661</c:v>
                </c:pt>
                <c:pt idx="274">
                  <c:v>661</c:v>
                </c:pt>
                <c:pt idx="275">
                  <c:v>699</c:v>
                </c:pt>
                <c:pt idx="276">
                  <c:v>699</c:v>
                </c:pt>
                <c:pt idx="277">
                  <c:v>699</c:v>
                </c:pt>
                <c:pt idx="278">
                  <c:v>699</c:v>
                </c:pt>
                <c:pt idx="279">
                  <c:v>699</c:v>
                </c:pt>
                <c:pt idx="280">
                  <c:v>699</c:v>
                </c:pt>
                <c:pt idx="281">
                  <c:v>699</c:v>
                </c:pt>
                <c:pt idx="282">
                  <c:v>614</c:v>
                </c:pt>
                <c:pt idx="283">
                  <c:v>614</c:v>
                </c:pt>
                <c:pt idx="284">
                  <c:v>614</c:v>
                </c:pt>
                <c:pt idx="285">
                  <c:v>614</c:v>
                </c:pt>
                <c:pt idx="286">
                  <c:v>614</c:v>
                </c:pt>
                <c:pt idx="287">
                  <c:v>614</c:v>
                </c:pt>
                <c:pt idx="288">
                  <c:v>614</c:v>
                </c:pt>
                <c:pt idx="289">
                  <c:v>545</c:v>
                </c:pt>
                <c:pt idx="290">
                  <c:v>545</c:v>
                </c:pt>
                <c:pt idx="291">
                  <c:v>545</c:v>
                </c:pt>
                <c:pt idx="292">
                  <c:v>545</c:v>
                </c:pt>
                <c:pt idx="293">
                  <c:v>545</c:v>
                </c:pt>
                <c:pt idx="294">
                  <c:v>545</c:v>
                </c:pt>
                <c:pt idx="295">
                  <c:v>545</c:v>
                </c:pt>
                <c:pt idx="296">
                  <c:v>422</c:v>
                </c:pt>
                <c:pt idx="297">
                  <c:v>422</c:v>
                </c:pt>
                <c:pt idx="298">
                  <c:v>422</c:v>
                </c:pt>
                <c:pt idx="299">
                  <c:v>422</c:v>
                </c:pt>
                <c:pt idx="300">
                  <c:v>422</c:v>
                </c:pt>
                <c:pt idx="301">
                  <c:v>422</c:v>
                </c:pt>
                <c:pt idx="302">
                  <c:v>422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FE6-486C-9A45-F8FBC997A94C}"/>
            </c:ext>
          </c:extLst>
        </c:ser>
        <c:ser>
          <c:idx val="2"/>
          <c:order val="2"/>
          <c:tx>
            <c:strRef>
              <c:f>DAU!$F$1</c:f>
              <c:strCache>
                <c:ptCount val="1"/>
                <c:pt idx="0">
                  <c:v>mau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DAU!$C:$C</c:f>
              <c:strCache>
                <c:ptCount val="304"/>
                <c:pt idx="0">
                  <c:v>day</c:v>
                </c:pt>
                <c:pt idx="1">
                  <c:v>02.07.22</c:v>
                </c:pt>
                <c:pt idx="2">
                  <c:v>03.07.22</c:v>
                </c:pt>
                <c:pt idx="3">
                  <c:v>04.07.22</c:v>
                </c:pt>
                <c:pt idx="4">
                  <c:v>05.07.22</c:v>
                </c:pt>
                <c:pt idx="5">
                  <c:v>06.07.22</c:v>
                </c:pt>
                <c:pt idx="6">
                  <c:v>07.07.22</c:v>
                </c:pt>
                <c:pt idx="7">
                  <c:v>08.07.22</c:v>
                </c:pt>
                <c:pt idx="8">
                  <c:v>09.07.22</c:v>
                </c:pt>
                <c:pt idx="9">
                  <c:v>10.07.22</c:v>
                </c:pt>
                <c:pt idx="10">
                  <c:v>11.07.22</c:v>
                </c:pt>
                <c:pt idx="11">
                  <c:v>12.07.22</c:v>
                </c:pt>
                <c:pt idx="12">
                  <c:v>13.07.22</c:v>
                </c:pt>
                <c:pt idx="13">
                  <c:v>14.07.22</c:v>
                </c:pt>
                <c:pt idx="14">
                  <c:v>15.07.22</c:v>
                </c:pt>
                <c:pt idx="15">
                  <c:v>16.07.22</c:v>
                </c:pt>
                <c:pt idx="16">
                  <c:v>17.07.22</c:v>
                </c:pt>
                <c:pt idx="17">
                  <c:v>18.07.22</c:v>
                </c:pt>
                <c:pt idx="18">
                  <c:v>19.07.22</c:v>
                </c:pt>
                <c:pt idx="19">
                  <c:v>20.07.22</c:v>
                </c:pt>
                <c:pt idx="20">
                  <c:v>21.07.22</c:v>
                </c:pt>
                <c:pt idx="21">
                  <c:v>22.07.22</c:v>
                </c:pt>
                <c:pt idx="22">
                  <c:v>23.07.22</c:v>
                </c:pt>
                <c:pt idx="23">
                  <c:v>24.07.22</c:v>
                </c:pt>
                <c:pt idx="24">
                  <c:v>25.07.22</c:v>
                </c:pt>
                <c:pt idx="25">
                  <c:v>26.07.22</c:v>
                </c:pt>
                <c:pt idx="26">
                  <c:v>27.07.22</c:v>
                </c:pt>
                <c:pt idx="27">
                  <c:v>28.07.22</c:v>
                </c:pt>
                <c:pt idx="28">
                  <c:v>29.07.22</c:v>
                </c:pt>
                <c:pt idx="29">
                  <c:v>30.07.22</c:v>
                </c:pt>
                <c:pt idx="30">
                  <c:v>31.07.22</c:v>
                </c:pt>
                <c:pt idx="31">
                  <c:v>01.08.22</c:v>
                </c:pt>
                <c:pt idx="32">
                  <c:v>02.08.22</c:v>
                </c:pt>
                <c:pt idx="33">
                  <c:v>03.08.22</c:v>
                </c:pt>
                <c:pt idx="34">
                  <c:v>04.08.22</c:v>
                </c:pt>
                <c:pt idx="35">
                  <c:v>05.08.22</c:v>
                </c:pt>
                <c:pt idx="36">
                  <c:v>06.08.22</c:v>
                </c:pt>
                <c:pt idx="37">
                  <c:v>07.08.22</c:v>
                </c:pt>
                <c:pt idx="38">
                  <c:v>08.08.22</c:v>
                </c:pt>
                <c:pt idx="39">
                  <c:v>09.08.22</c:v>
                </c:pt>
                <c:pt idx="40">
                  <c:v>10.08.22</c:v>
                </c:pt>
                <c:pt idx="41">
                  <c:v>11.08.22</c:v>
                </c:pt>
                <c:pt idx="42">
                  <c:v>12.08.22</c:v>
                </c:pt>
                <c:pt idx="43">
                  <c:v>13.08.22</c:v>
                </c:pt>
                <c:pt idx="44">
                  <c:v>14.08.22</c:v>
                </c:pt>
                <c:pt idx="45">
                  <c:v>15.08.22</c:v>
                </c:pt>
                <c:pt idx="46">
                  <c:v>16.08.22</c:v>
                </c:pt>
                <c:pt idx="47">
                  <c:v>17.08.22</c:v>
                </c:pt>
                <c:pt idx="48">
                  <c:v>18.08.22</c:v>
                </c:pt>
                <c:pt idx="49">
                  <c:v>19.08.22</c:v>
                </c:pt>
                <c:pt idx="50">
                  <c:v>20.08.22</c:v>
                </c:pt>
                <c:pt idx="51">
                  <c:v>21.08.22</c:v>
                </c:pt>
                <c:pt idx="52">
                  <c:v>22.08.22</c:v>
                </c:pt>
                <c:pt idx="53">
                  <c:v>23.08.22</c:v>
                </c:pt>
                <c:pt idx="54">
                  <c:v>24.08.22</c:v>
                </c:pt>
                <c:pt idx="55">
                  <c:v>25.08.22</c:v>
                </c:pt>
                <c:pt idx="56">
                  <c:v>26.08.22</c:v>
                </c:pt>
                <c:pt idx="57">
                  <c:v>27.08.22</c:v>
                </c:pt>
                <c:pt idx="58">
                  <c:v>28.08.22</c:v>
                </c:pt>
                <c:pt idx="59">
                  <c:v>29.08.22</c:v>
                </c:pt>
                <c:pt idx="60">
                  <c:v>30.08.22</c:v>
                </c:pt>
                <c:pt idx="61">
                  <c:v>31.08.22</c:v>
                </c:pt>
                <c:pt idx="62">
                  <c:v>01.09.22</c:v>
                </c:pt>
                <c:pt idx="63">
                  <c:v>02.09.22</c:v>
                </c:pt>
                <c:pt idx="64">
                  <c:v>03.09.22</c:v>
                </c:pt>
                <c:pt idx="65">
                  <c:v>04.09.22</c:v>
                </c:pt>
                <c:pt idx="66">
                  <c:v>05.09.22</c:v>
                </c:pt>
                <c:pt idx="67">
                  <c:v>06.09.22</c:v>
                </c:pt>
                <c:pt idx="68">
                  <c:v>07.09.22</c:v>
                </c:pt>
                <c:pt idx="69">
                  <c:v>08.09.22</c:v>
                </c:pt>
                <c:pt idx="70">
                  <c:v>09.09.22</c:v>
                </c:pt>
                <c:pt idx="71">
                  <c:v>10.09.22</c:v>
                </c:pt>
                <c:pt idx="72">
                  <c:v>11.09.22</c:v>
                </c:pt>
                <c:pt idx="73">
                  <c:v>12.09.22</c:v>
                </c:pt>
                <c:pt idx="74">
                  <c:v>13.09.22</c:v>
                </c:pt>
                <c:pt idx="75">
                  <c:v>14.09.22</c:v>
                </c:pt>
                <c:pt idx="76">
                  <c:v>15.09.22</c:v>
                </c:pt>
                <c:pt idx="77">
                  <c:v>16.09.22</c:v>
                </c:pt>
                <c:pt idx="78">
                  <c:v>17.09.22</c:v>
                </c:pt>
                <c:pt idx="79">
                  <c:v>18.09.22</c:v>
                </c:pt>
                <c:pt idx="80">
                  <c:v>19.09.22</c:v>
                </c:pt>
                <c:pt idx="81">
                  <c:v>20.09.22</c:v>
                </c:pt>
                <c:pt idx="82">
                  <c:v>21.09.22</c:v>
                </c:pt>
                <c:pt idx="83">
                  <c:v>22.09.22</c:v>
                </c:pt>
                <c:pt idx="84">
                  <c:v>23.09.22</c:v>
                </c:pt>
                <c:pt idx="85">
                  <c:v>24.09.22</c:v>
                </c:pt>
                <c:pt idx="86">
                  <c:v>25.09.22</c:v>
                </c:pt>
                <c:pt idx="87">
                  <c:v>26.09.22</c:v>
                </c:pt>
                <c:pt idx="88">
                  <c:v>27.09.22</c:v>
                </c:pt>
                <c:pt idx="89">
                  <c:v>28.09.22</c:v>
                </c:pt>
                <c:pt idx="90">
                  <c:v>29.09.22</c:v>
                </c:pt>
                <c:pt idx="91">
                  <c:v>30.09.22</c:v>
                </c:pt>
                <c:pt idx="92">
                  <c:v>01.10.22</c:v>
                </c:pt>
                <c:pt idx="93">
                  <c:v>02.10.22</c:v>
                </c:pt>
                <c:pt idx="94">
                  <c:v>03.10.22</c:v>
                </c:pt>
                <c:pt idx="95">
                  <c:v>04.10.22</c:v>
                </c:pt>
                <c:pt idx="96">
                  <c:v>05.10.22</c:v>
                </c:pt>
                <c:pt idx="97">
                  <c:v>06.10.22</c:v>
                </c:pt>
                <c:pt idx="98">
                  <c:v>07.10.22</c:v>
                </c:pt>
                <c:pt idx="99">
                  <c:v>08.10.22</c:v>
                </c:pt>
                <c:pt idx="100">
                  <c:v>09.10.22</c:v>
                </c:pt>
                <c:pt idx="101">
                  <c:v>10.10.22</c:v>
                </c:pt>
                <c:pt idx="102">
                  <c:v>11.10.22</c:v>
                </c:pt>
                <c:pt idx="103">
                  <c:v>12.10.22</c:v>
                </c:pt>
                <c:pt idx="104">
                  <c:v>13.10.22</c:v>
                </c:pt>
                <c:pt idx="105">
                  <c:v>14.10.22</c:v>
                </c:pt>
                <c:pt idx="106">
                  <c:v>15.10.22</c:v>
                </c:pt>
                <c:pt idx="107">
                  <c:v>16.10.22</c:v>
                </c:pt>
                <c:pt idx="108">
                  <c:v>17.10.22</c:v>
                </c:pt>
                <c:pt idx="109">
                  <c:v>18.10.22</c:v>
                </c:pt>
                <c:pt idx="110">
                  <c:v>19.10.22</c:v>
                </c:pt>
                <c:pt idx="111">
                  <c:v>20.10.22</c:v>
                </c:pt>
                <c:pt idx="112">
                  <c:v>21.10.22</c:v>
                </c:pt>
                <c:pt idx="113">
                  <c:v>22.10.22</c:v>
                </c:pt>
                <c:pt idx="114">
                  <c:v>23.10.22</c:v>
                </c:pt>
                <c:pt idx="115">
                  <c:v>24.10.22</c:v>
                </c:pt>
                <c:pt idx="116">
                  <c:v>25.10.22</c:v>
                </c:pt>
                <c:pt idx="117">
                  <c:v>26.10.22</c:v>
                </c:pt>
                <c:pt idx="118">
                  <c:v>27.10.22</c:v>
                </c:pt>
                <c:pt idx="119">
                  <c:v>28.10.22</c:v>
                </c:pt>
                <c:pt idx="120">
                  <c:v>29.10.22</c:v>
                </c:pt>
                <c:pt idx="121">
                  <c:v>30.10.22</c:v>
                </c:pt>
                <c:pt idx="122">
                  <c:v>31.10.22</c:v>
                </c:pt>
                <c:pt idx="123">
                  <c:v>01.11.22</c:v>
                </c:pt>
                <c:pt idx="124">
                  <c:v>02.11.22</c:v>
                </c:pt>
                <c:pt idx="125">
                  <c:v>03.11.22</c:v>
                </c:pt>
                <c:pt idx="126">
                  <c:v>04.11.22</c:v>
                </c:pt>
                <c:pt idx="127">
                  <c:v>05.11.22</c:v>
                </c:pt>
                <c:pt idx="128">
                  <c:v>06.11.22</c:v>
                </c:pt>
                <c:pt idx="129">
                  <c:v>07.11.22</c:v>
                </c:pt>
                <c:pt idx="130">
                  <c:v>08.11.22</c:v>
                </c:pt>
                <c:pt idx="131">
                  <c:v>09.11.22</c:v>
                </c:pt>
                <c:pt idx="132">
                  <c:v>10.11.22</c:v>
                </c:pt>
                <c:pt idx="133">
                  <c:v>11.11.22</c:v>
                </c:pt>
                <c:pt idx="134">
                  <c:v>12.11.22</c:v>
                </c:pt>
                <c:pt idx="135">
                  <c:v>13.11.22</c:v>
                </c:pt>
                <c:pt idx="136">
                  <c:v>14.11.22</c:v>
                </c:pt>
                <c:pt idx="137">
                  <c:v>15.11.22</c:v>
                </c:pt>
                <c:pt idx="138">
                  <c:v>16.11.22</c:v>
                </c:pt>
                <c:pt idx="139">
                  <c:v>17.11.22</c:v>
                </c:pt>
                <c:pt idx="140">
                  <c:v>18.11.22</c:v>
                </c:pt>
                <c:pt idx="141">
                  <c:v>19.11.22</c:v>
                </c:pt>
                <c:pt idx="142">
                  <c:v>20.11.22</c:v>
                </c:pt>
                <c:pt idx="143">
                  <c:v>21.11.22</c:v>
                </c:pt>
                <c:pt idx="144">
                  <c:v>22.11.22</c:v>
                </c:pt>
                <c:pt idx="145">
                  <c:v>23.11.22</c:v>
                </c:pt>
                <c:pt idx="146">
                  <c:v>24.11.22</c:v>
                </c:pt>
                <c:pt idx="147">
                  <c:v>25.11.22</c:v>
                </c:pt>
                <c:pt idx="148">
                  <c:v>26.11.22</c:v>
                </c:pt>
                <c:pt idx="149">
                  <c:v>27.11.22</c:v>
                </c:pt>
                <c:pt idx="150">
                  <c:v>28.11.22</c:v>
                </c:pt>
                <c:pt idx="151">
                  <c:v>29.11.22</c:v>
                </c:pt>
                <c:pt idx="152">
                  <c:v>30.11.22</c:v>
                </c:pt>
                <c:pt idx="153">
                  <c:v>01.12.22</c:v>
                </c:pt>
                <c:pt idx="154">
                  <c:v>02.12.22</c:v>
                </c:pt>
                <c:pt idx="155">
                  <c:v>03.12.22</c:v>
                </c:pt>
                <c:pt idx="156">
                  <c:v>04.12.22</c:v>
                </c:pt>
                <c:pt idx="157">
                  <c:v>05.12.22</c:v>
                </c:pt>
                <c:pt idx="158">
                  <c:v>06.12.22</c:v>
                </c:pt>
                <c:pt idx="159">
                  <c:v>07.12.22</c:v>
                </c:pt>
                <c:pt idx="160">
                  <c:v>08.12.22</c:v>
                </c:pt>
                <c:pt idx="161">
                  <c:v>09.12.22</c:v>
                </c:pt>
                <c:pt idx="162">
                  <c:v>10.12.22</c:v>
                </c:pt>
                <c:pt idx="163">
                  <c:v>11.12.22</c:v>
                </c:pt>
                <c:pt idx="164">
                  <c:v>12.12.22</c:v>
                </c:pt>
                <c:pt idx="165">
                  <c:v>13.12.22</c:v>
                </c:pt>
                <c:pt idx="166">
                  <c:v>14.12.22</c:v>
                </c:pt>
                <c:pt idx="167">
                  <c:v>15.12.22</c:v>
                </c:pt>
                <c:pt idx="168">
                  <c:v>16.12.22</c:v>
                </c:pt>
                <c:pt idx="169">
                  <c:v>17.12.22</c:v>
                </c:pt>
                <c:pt idx="170">
                  <c:v>18.12.22</c:v>
                </c:pt>
                <c:pt idx="171">
                  <c:v>19.12.22</c:v>
                </c:pt>
                <c:pt idx="172">
                  <c:v>20.12.22</c:v>
                </c:pt>
                <c:pt idx="173">
                  <c:v>21.12.22</c:v>
                </c:pt>
                <c:pt idx="174">
                  <c:v>22.12.22</c:v>
                </c:pt>
                <c:pt idx="175">
                  <c:v>23.12.22</c:v>
                </c:pt>
                <c:pt idx="176">
                  <c:v>24.12.22</c:v>
                </c:pt>
                <c:pt idx="177">
                  <c:v>25.12.22</c:v>
                </c:pt>
                <c:pt idx="178">
                  <c:v>26.12.22</c:v>
                </c:pt>
                <c:pt idx="179">
                  <c:v>27.12.22</c:v>
                </c:pt>
                <c:pt idx="180">
                  <c:v>28.12.22</c:v>
                </c:pt>
                <c:pt idx="181">
                  <c:v>29.12.22</c:v>
                </c:pt>
                <c:pt idx="182">
                  <c:v>30.12.22</c:v>
                </c:pt>
                <c:pt idx="183">
                  <c:v>31.12.22</c:v>
                </c:pt>
                <c:pt idx="184">
                  <c:v>01.01.23</c:v>
                </c:pt>
                <c:pt idx="185">
                  <c:v>02.01.23</c:v>
                </c:pt>
                <c:pt idx="186">
                  <c:v>03.01.23</c:v>
                </c:pt>
                <c:pt idx="187">
                  <c:v>04.01.23</c:v>
                </c:pt>
                <c:pt idx="188">
                  <c:v>05.01.23</c:v>
                </c:pt>
                <c:pt idx="189">
                  <c:v>06.01.23</c:v>
                </c:pt>
                <c:pt idx="190">
                  <c:v>07.01.23</c:v>
                </c:pt>
                <c:pt idx="191">
                  <c:v>08.01.23</c:v>
                </c:pt>
                <c:pt idx="192">
                  <c:v>09.01.23</c:v>
                </c:pt>
                <c:pt idx="193">
                  <c:v>10.01.23</c:v>
                </c:pt>
                <c:pt idx="194">
                  <c:v>11.01.23</c:v>
                </c:pt>
                <c:pt idx="195">
                  <c:v>12.01.23</c:v>
                </c:pt>
                <c:pt idx="196">
                  <c:v>13.01.23</c:v>
                </c:pt>
                <c:pt idx="197">
                  <c:v>14.01.23</c:v>
                </c:pt>
                <c:pt idx="198">
                  <c:v>15.01.23</c:v>
                </c:pt>
                <c:pt idx="199">
                  <c:v>16.01.23</c:v>
                </c:pt>
                <c:pt idx="200">
                  <c:v>17.01.23</c:v>
                </c:pt>
                <c:pt idx="201">
                  <c:v>18.01.23</c:v>
                </c:pt>
                <c:pt idx="202">
                  <c:v>19.01.23</c:v>
                </c:pt>
                <c:pt idx="203">
                  <c:v>20.01.23</c:v>
                </c:pt>
                <c:pt idx="204">
                  <c:v>21.01.23</c:v>
                </c:pt>
                <c:pt idx="205">
                  <c:v>22.01.23</c:v>
                </c:pt>
                <c:pt idx="206">
                  <c:v>23.01.23</c:v>
                </c:pt>
                <c:pt idx="207">
                  <c:v>24.01.23</c:v>
                </c:pt>
                <c:pt idx="208">
                  <c:v>25.01.23</c:v>
                </c:pt>
                <c:pt idx="209">
                  <c:v>26.01.23</c:v>
                </c:pt>
                <c:pt idx="210">
                  <c:v>27.01.23</c:v>
                </c:pt>
                <c:pt idx="211">
                  <c:v>28.01.23</c:v>
                </c:pt>
                <c:pt idx="212">
                  <c:v>29.01.23</c:v>
                </c:pt>
                <c:pt idx="213">
                  <c:v>30.01.23</c:v>
                </c:pt>
                <c:pt idx="214">
                  <c:v>31.01.23</c:v>
                </c:pt>
                <c:pt idx="215">
                  <c:v>01.02.23</c:v>
                </c:pt>
                <c:pt idx="216">
                  <c:v>02.02.23</c:v>
                </c:pt>
                <c:pt idx="217">
                  <c:v>03.02.23</c:v>
                </c:pt>
                <c:pt idx="218">
                  <c:v>04.02.23</c:v>
                </c:pt>
                <c:pt idx="219">
                  <c:v>05.02.23</c:v>
                </c:pt>
                <c:pt idx="220">
                  <c:v>06.02.23</c:v>
                </c:pt>
                <c:pt idx="221">
                  <c:v>07.02.23</c:v>
                </c:pt>
                <c:pt idx="222">
                  <c:v>08.02.23</c:v>
                </c:pt>
                <c:pt idx="223">
                  <c:v>09.02.23</c:v>
                </c:pt>
                <c:pt idx="224">
                  <c:v>10.02.23</c:v>
                </c:pt>
                <c:pt idx="225">
                  <c:v>11.02.23</c:v>
                </c:pt>
                <c:pt idx="226">
                  <c:v>12.02.23</c:v>
                </c:pt>
                <c:pt idx="227">
                  <c:v>13.02.23</c:v>
                </c:pt>
                <c:pt idx="228">
                  <c:v>14.02.23</c:v>
                </c:pt>
                <c:pt idx="229">
                  <c:v>15.02.23</c:v>
                </c:pt>
                <c:pt idx="230">
                  <c:v>16.02.23</c:v>
                </c:pt>
                <c:pt idx="231">
                  <c:v>17.02.23</c:v>
                </c:pt>
                <c:pt idx="232">
                  <c:v>18.02.23</c:v>
                </c:pt>
                <c:pt idx="233">
                  <c:v>19.02.23</c:v>
                </c:pt>
                <c:pt idx="234">
                  <c:v>20.02.23</c:v>
                </c:pt>
                <c:pt idx="235">
                  <c:v>21.02.23</c:v>
                </c:pt>
                <c:pt idx="236">
                  <c:v>22.02.23</c:v>
                </c:pt>
                <c:pt idx="237">
                  <c:v>23.02.23</c:v>
                </c:pt>
                <c:pt idx="238">
                  <c:v>24.02.23</c:v>
                </c:pt>
                <c:pt idx="239">
                  <c:v>25.02.23</c:v>
                </c:pt>
                <c:pt idx="240">
                  <c:v>26.02.23</c:v>
                </c:pt>
                <c:pt idx="241">
                  <c:v>27.02.23</c:v>
                </c:pt>
                <c:pt idx="242">
                  <c:v>28.02.23</c:v>
                </c:pt>
                <c:pt idx="243">
                  <c:v>01.03.23</c:v>
                </c:pt>
                <c:pt idx="244">
                  <c:v>02.03.23</c:v>
                </c:pt>
                <c:pt idx="245">
                  <c:v>03.03.23</c:v>
                </c:pt>
                <c:pt idx="246">
                  <c:v>04.03.23</c:v>
                </c:pt>
                <c:pt idx="247">
                  <c:v>05.03.23</c:v>
                </c:pt>
                <c:pt idx="248">
                  <c:v>06.03.23</c:v>
                </c:pt>
                <c:pt idx="249">
                  <c:v>07.03.23</c:v>
                </c:pt>
                <c:pt idx="250">
                  <c:v>08.03.23</c:v>
                </c:pt>
                <c:pt idx="251">
                  <c:v>09.03.23</c:v>
                </c:pt>
                <c:pt idx="252">
                  <c:v>10.03.23</c:v>
                </c:pt>
                <c:pt idx="253">
                  <c:v>11.03.23</c:v>
                </c:pt>
                <c:pt idx="254">
                  <c:v>12.03.23</c:v>
                </c:pt>
                <c:pt idx="255">
                  <c:v>13.03.23</c:v>
                </c:pt>
                <c:pt idx="256">
                  <c:v>14.03.23</c:v>
                </c:pt>
                <c:pt idx="257">
                  <c:v>15.03.23</c:v>
                </c:pt>
                <c:pt idx="258">
                  <c:v>16.03.23</c:v>
                </c:pt>
                <c:pt idx="259">
                  <c:v>17.03.23</c:v>
                </c:pt>
                <c:pt idx="260">
                  <c:v>18.03.23</c:v>
                </c:pt>
                <c:pt idx="261">
                  <c:v>19.03.23</c:v>
                </c:pt>
                <c:pt idx="262">
                  <c:v>20.03.23</c:v>
                </c:pt>
                <c:pt idx="263">
                  <c:v>21.03.23</c:v>
                </c:pt>
                <c:pt idx="264">
                  <c:v>22.03.23</c:v>
                </c:pt>
                <c:pt idx="265">
                  <c:v>23.03.23</c:v>
                </c:pt>
                <c:pt idx="266">
                  <c:v>24.03.23</c:v>
                </c:pt>
                <c:pt idx="267">
                  <c:v>25.03.23</c:v>
                </c:pt>
                <c:pt idx="268">
                  <c:v>26.03.23</c:v>
                </c:pt>
                <c:pt idx="269">
                  <c:v>27.03.23</c:v>
                </c:pt>
                <c:pt idx="270">
                  <c:v>28.03.23</c:v>
                </c:pt>
                <c:pt idx="271">
                  <c:v>29.03.23</c:v>
                </c:pt>
                <c:pt idx="272">
                  <c:v>30.03.23</c:v>
                </c:pt>
                <c:pt idx="273">
                  <c:v>31.03.23</c:v>
                </c:pt>
                <c:pt idx="274">
                  <c:v>01.04.23</c:v>
                </c:pt>
                <c:pt idx="275">
                  <c:v>02.04.23</c:v>
                </c:pt>
                <c:pt idx="276">
                  <c:v>03.04.23</c:v>
                </c:pt>
                <c:pt idx="277">
                  <c:v>04.04.23</c:v>
                </c:pt>
                <c:pt idx="278">
                  <c:v>05.04.23</c:v>
                </c:pt>
                <c:pt idx="279">
                  <c:v>06.04.23</c:v>
                </c:pt>
                <c:pt idx="280">
                  <c:v>07.04.23</c:v>
                </c:pt>
                <c:pt idx="281">
                  <c:v>08.04.23</c:v>
                </c:pt>
                <c:pt idx="282">
                  <c:v>09.04.23</c:v>
                </c:pt>
                <c:pt idx="283">
                  <c:v>10.04.23</c:v>
                </c:pt>
                <c:pt idx="284">
                  <c:v>11.04.23</c:v>
                </c:pt>
                <c:pt idx="285">
                  <c:v>12.04.23</c:v>
                </c:pt>
                <c:pt idx="286">
                  <c:v>13.04.23</c:v>
                </c:pt>
                <c:pt idx="287">
                  <c:v>14.04.23</c:v>
                </c:pt>
                <c:pt idx="288">
                  <c:v>15.04.23</c:v>
                </c:pt>
                <c:pt idx="289">
                  <c:v>16.04.23</c:v>
                </c:pt>
                <c:pt idx="290">
                  <c:v>17.04.23</c:v>
                </c:pt>
                <c:pt idx="291">
                  <c:v>18.04.23</c:v>
                </c:pt>
                <c:pt idx="292">
                  <c:v>19.04.23</c:v>
                </c:pt>
                <c:pt idx="293">
                  <c:v>20.04.23</c:v>
                </c:pt>
                <c:pt idx="294">
                  <c:v>21.04.23</c:v>
                </c:pt>
                <c:pt idx="295">
                  <c:v>22.04.23</c:v>
                </c:pt>
                <c:pt idx="296">
                  <c:v>23.04.23</c:v>
                </c:pt>
                <c:pt idx="297">
                  <c:v>24.04.23</c:v>
                </c:pt>
                <c:pt idx="298">
                  <c:v>25.04.23</c:v>
                </c:pt>
                <c:pt idx="299">
                  <c:v>26.04.23</c:v>
                </c:pt>
                <c:pt idx="300">
                  <c:v>27.04.23</c:v>
                </c:pt>
                <c:pt idx="301">
                  <c:v>28.04.23</c:v>
                </c:pt>
                <c:pt idx="302">
                  <c:v>29.04.23</c:v>
                </c:pt>
                <c:pt idx="303">
                  <c:v>30.04.23</c:v>
                </c:pt>
              </c:strCache>
            </c:strRef>
          </c:cat>
          <c:val>
            <c:numRef>
              <c:f>DAU!$F$2:$F$304</c:f>
              <c:numCache>
                <c:formatCode>General</c:formatCode>
                <c:ptCount val="303"/>
                <c:pt idx="0">
                  <c:v>193</c:v>
                </c:pt>
                <c:pt idx="1">
                  <c:v>193</c:v>
                </c:pt>
                <c:pt idx="2">
                  <c:v>193</c:v>
                </c:pt>
                <c:pt idx="3">
                  <c:v>193</c:v>
                </c:pt>
                <c:pt idx="4">
                  <c:v>193</c:v>
                </c:pt>
                <c:pt idx="5">
                  <c:v>193</c:v>
                </c:pt>
                <c:pt idx="6">
                  <c:v>193</c:v>
                </c:pt>
                <c:pt idx="7">
                  <c:v>193</c:v>
                </c:pt>
                <c:pt idx="8">
                  <c:v>193</c:v>
                </c:pt>
                <c:pt idx="9">
                  <c:v>193</c:v>
                </c:pt>
                <c:pt idx="10">
                  <c:v>193</c:v>
                </c:pt>
                <c:pt idx="11">
                  <c:v>193</c:v>
                </c:pt>
                <c:pt idx="12">
                  <c:v>193</c:v>
                </c:pt>
                <c:pt idx="13">
                  <c:v>193</c:v>
                </c:pt>
                <c:pt idx="14">
                  <c:v>193</c:v>
                </c:pt>
                <c:pt idx="15">
                  <c:v>193</c:v>
                </c:pt>
                <c:pt idx="16">
                  <c:v>193</c:v>
                </c:pt>
                <c:pt idx="17">
                  <c:v>193</c:v>
                </c:pt>
                <c:pt idx="18">
                  <c:v>193</c:v>
                </c:pt>
                <c:pt idx="19">
                  <c:v>193</c:v>
                </c:pt>
                <c:pt idx="20">
                  <c:v>193</c:v>
                </c:pt>
                <c:pt idx="21">
                  <c:v>193</c:v>
                </c:pt>
                <c:pt idx="22">
                  <c:v>193</c:v>
                </c:pt>
                <c:pt idx="23">
                  <c:v>193</c:v>
                </c:pt>
                <c:pt idx="24">
                  <c:v>193</c:v>
                </c:pt>
                <c:pt idx="25">
                  <c:v>193</c:v>
                </c:pt>
                <c:pt idx="26">
                  <c:v>193</c:v>
                </c:pt>
                <c:pt idx="27">
                  <c:v>193</c:v>
                </c:pt>
                <c:pt idx="28">
                  <c:v>193</c:v>
                </c:pt>
                <c:pt idx="29">
                  <c:v>193</c:v>
                </c:pt>
                <c:pt idx="30">
                  <c:v>366</c:v>
                </c:pt>
                <c:pt idx="31">
                  <c:v>366</c:v>
                </c:pt>
                <c:pt idx="32">
                  <c:v>366</c:v>
                </c:pt>
                <c:pt idx="33">
                  <c:v>366</c:v>
                </c:pt>
                <c:pt idx="34">
                  <c:v>366</c:v>
                </c:pt>
                <c:pt idx="35">
                  <c:v>366</c:v>
                </c:pt>
                <c:pt idx="36">
                  <c:v>366</c:v>
                </c:pt>
                <c:pt idx="37">
                  <c:v>366</c:v>
                </c:pt>
                <c:pt idx="38">
                  <c:v>366</c:v>
                </c:pt>
                <c:pt idx="39">
                  <c:v>366</c:v>
                </c:pt>
                <c:pt idx="40">
                  <c:v>366</c:v>
                </c:pt>
                <c:pt idx="41">
                  <c:v>366</c:v>
                </c:pt>
                <c:pt idx="42">
                  <c:v>366</c:v>
                </c:pt>
                <c:pt idx="43">
                  <c:v>366</c:v>
                </c:pt>
                <c:pt idx="44">
                  <c:v>366</c:v>
                </c:pt>
                <c:pt idx="45">
                  <c:v>366</c:v>
                </c:pt>
                <c:pt idx="46">
                  <c:v>366</c:v>
                </c:pt>
                <c:pt idx="47">
                  <c:v>366</c:v>
                </c:pt>
                <c:pt idx="48">
                  <c:v>366</c:v>
                </c:pt>
                <c:pt idx="49">
                  <c:v>366</c:v>
                </c:pt>
                <c:pt idx="50">
                  <c:v>366</c:v>
                </c:pt>
                <c:pt idx="51">
                  <c:v>366</c:v>
                </c:pt>
                <c:pt idx="52">
                  <c:v>366</c:v>
                </c:pt>
                <c:pt idx="53">
                  <c:v>366</c:v>
                </c:pt>
                <c:pt idx="54">
                  <c:v>366</c:v>
                </c:pt>
                <c:pt idx="55">
                  <c:v>366</c:v>
                </c:pt>
                <c:pt idx="56">
                  <c:v>366</c:v>
                </c:pt>
                <c:pt idx="57">
                  <c:v>366</c:v>
                </c:pt>
                <c:pt idx="58">
                  <c:v>366</c:v>
                </c:pt>
                <c:pt idx="59">
                  <c:v>366</c:v>
                </c:pt>
                <c:pt idx="60">
                  <c:v>366</c:v>
                </c:pt>
                <c:pt idx="61">
                  <c:v>378</c:v>
                </c:pt>
                <c:pt idx="62">
                  <c:v>378</c:v>
                </c:pt>
                <c:pt idx="63">
                  <c:v>378</c:v>
                </c:pt>
                <c:pt idx="64">
                  <c:v>378</c:v>
                </c:pt>
                <c:pt idx="65">
                  <c:v>378</c:v>
                </c:pt>
                <c:pt idx="66">
                  <c:v>378</c:v>
                </c:pt>
                <c:pt idx="67">
                  <c:v>378</c:v>
                </c:pt>
                <c:pt idx="68">
                  <c:v>378</c:v>
                </c:pt>
                <c:pt idx="69">
                  <c:v>378</c:v>
                </c:pt>
                <c:pt idx="70">
                  <c:v>378</c:v>
                </c:pt>
                <c:pt idx="71">
                  <c:v>378</c:v>
                </c:pt>
                <c:pt idx="72">
                  <c:v>378</c:v>
                </c:pt>
                <c:pt idx="73">
                  <c:v>378</c:v>
                </c:pt>
                <c:pt idx="74">
                  <c:v>378</c:v>
                </c:pt>
                <c:pt idx="75">
                  <c:v>378</c:v>
                </c:pt>
                <c:pt idx="76">
                  <c:v>378</c:v>
                </c:pt>
                <c:pt idx="77">
                  <c:v>378</c:v>
                </c:pt>
                <c:pt idx="78">
                  <c:v>378</c:v>
                </c:pt>
                <c:pt idx="79">
                  <c:v>378</c:v>
                </c:pt>
                <c:pt idx="80">
                  <c:v>378</c:v>
                </c:pt>
                <c:pt idx="81">
                  <c:v>378</c:v>
                </c:pt>
                <c:pt idx="82">
                  <c:v>378</c:v>
                </c:pt>
                <c:pt idx="83">
                  <c:v>378</c:v>
                </c:pt>
                <c:pt idx="84">
                  <c:v>378</c:v>
                </c:pt>
                <c:pt idx="85">
                  <c:v>378</c:v>
                </c:pt>
                <c:pt idx="86">
                  <c:v>378</c:v>
                </c:pt>
                <c:pt idx="87">
                  <c:v>378</c:v>
                </c:pt>
                <c:pt idx="88">
                  <c:v>378</c:v>
                </c:pt>
                <c:pt idx="89">
                  <c:v>378</c:v>
                </c:pt>
                <c:pt idx="90">
                  <c:v>378</c:v>
                </c:pt>
                <c:pt idx="91">
                  <c:v>393</c:v>
                </c:pt>
                <c:pt idx="92">
                  <c:v>393</c:v>
                </c:pt>
                <c:pt idx="93">
                  <c:v>393</c:v>
                </c:pt>
                <c:pt idx="94">
                  <c:v>393</c:v>
                </c:pt>
                <c:pt idx="95">
                  <c:v>393</c:v>
                </c:pt>
                <c:pt idx="96">
                  <c:v>393</c:v>
                </c:pt>
                <c:pt idx="97">
                  <c:v>393</c:v>
                </c:pt>
                <c:pt idx="98">
                  <c:v>393</c:v>
                </c:pt>
                <c:pt idx="99">
                  <c:v>393</c:v>
                </c:pt>
                <c:pt idx="100">
                  <c:v>393</c:v>
                </c:pt>
                <c:pt idx="101">
                  <c:v>393</c:v>
                </c:pt>
                <c:pt idx="102">
                  <c:v>393</c:v>
                </c:pt>
                <c:pt idx="103">
                  <c:v>393</c:v>
                </c:pt>
                <c:pt idx="104">
                  <c:v>393</c:v>
                </c:pt>
                <c:pt idx="105">
                  <c:v>393</c:v>
                </c:pt>
                <c:pt idx="106">
                  <c:v>393</c:v>
                </c:pt>
                <c:pt idx="107">
                  <c:v>393</c:v>
                </c:pt>
                <c:pt idx="108">
                  <c:v>393</c:v>
                </c:pt>
                <c:pt idx="109">
                  <c:v>393</c:v>
                </c:pt>
                <c:pt idx="110">
                  <c:v>393</c:v>
                </c:pt>
                <c:pt idx="111">
                  <c:v>393</c:v>
                </c:pt>
                <c:pt idx="112">
                  <c:v>393</c:v>
                </c:pt>
                <c:pt idx="113">
                  <c:v>393</c:v>
                </c:pt>
                <c:pt idx="114">
                  <c:v>393</c:v>
                </c:pt>
                <c:pt idx="115">
                  <c:v>393</c:v>
                </c:pt>
                <c:pt idx="116">
                  <c:v>393</c:v>
                </c:pt>
                <c:pt idx="117">
                  <c:v>393</c:v>
                </c:pt>
                <c:pt idx="118">
                  <c:v>393</c:v>
                </c:pt>
                <c:pt idx="119">
                  <c:v>393</c:v>
                </c:pt>
                <c:pt idx="120">
                  <c:v>393</c:v>
                </c:pt>
                <c:pt idx="121">
                  <c:v>393</c:v>
                </c:pt>
                <c:pt idx="122">
                  <c:v>426</c:v>
                </c:pt>
                <c:pt idx="123">
                  <c:v>426</c:v>
                </c:pt>
                <c:pt idx="124">
                  <c:v>426</c:v>
                </c:pt>
                <c:pt idx="125">
                  <c:v>426</c:v>
                </c:pt>
                <c:pt idx="126">
                  <c:v>426</c:v>
                </c:pt>
                <c:pt idx="127">
                  <c:v>426</c:v>
                </c:pt>
                <c:pt idx="128">
                  <c:v>426</c:v>
                </c:pt>
                <c:pt idx="129">
                  <c:v>426</c:v>
                </c:pt>
                <c:pt idx="130">
                  <c:v>426</c:v>
                </c:pt>
                <c:pt idx="131">
                  <c:v>426</c:v>
                </c:pt>
                <c:pt idx="132">
                  <c:v>426</c:v>
                </c:pt>
                <c:pt idx="133">
                  <c:v>426</c:v>
                </c:pt>
                <c:pt idx="134">
                  <c:v>426</c:v>
                </c:pt>
                <c:pt idx="135">
                  <c:v>426</c:v>
                </c:pt>
                <c:pt idx="136">
                  <c:v>426</c:v>
                </c:pt>
                <c:pt idx="137">
                  <c:v>426</c:v>
                </c:pt>
                <c:pt idx="138">
                  <c:v>426</c:v>
                </c:pt>
                <c:pt idx="139">
                  <c:v>426</c:v>
                </c:pt>
                <c:pt idx="140">
                  <c:v>426</c:v>
                </c:pt>
                <c:pt idx="141">
                  <c:v>426</c:v>
                </c:pt>
                <c:pt idx="142">
                  <c:v>426</c:v>
                </c:pt>
                <c:pt idx="143">
                  <c:v>426</c:v>
                </c:pt>
                <c:pt idx="144">
                  <c:v>426</c:v>
                </c:pt>
                <c:pt idx="145">
                  <c:v>426</c:v>
                </c:pt>
                <c:pt idx="146">
                  <c:v>426</c:v>
                </c:pt>
                <c:pt idx="147">
                  <c:v>426</c:v>
                </c:pt>
                <c:pt idx="148">
                  <c:v>426</c:v>
                </c:pt>
                <c:pt idx="149">
                  <c:v>426</c:v>
                </c:pt>
                <c:pt idx="150">
                  <c:v>426</c:v>
                </c:pt>
                <c:pt idx="151">
                  <c:v>426</c:v>
                </c:pt>
                <c:pt idx="152">
                  <c:v>390</c:v>
                </c:pt>
                <c:pt idx="153">
                  <c:v>390</c:v>
                </c:pt>
                <c:pt idx="154">
                  <c:v>390</c:v>
                </c:pt>
                <c:pt idx="155">
                  <c:v>390</c:v>
                </c:pt>
                <c:pt idx="156">
                  <c:v>390</c:v>
                </c:pt>
                <c:pt idx="157">
                  <c:v>390</c:v>
                </c:pt>
                <c:pt idx="158">
                  <c:v>390</c:v>
                </c:pt>
                <c:pt idx="159">
                  <c:v>390</c:v>
                </c:pt>
                <c:pt idx="160">
                  <c:v>390</c:v>
                </c:pt>
                <c:pt idx="161">
                  <c:v>390</c:v>
                </c:pt>
                <c:pt idx="162">
                  <c:v>390</c:v>
                </c:pt>
                <c:pt idx="163">
                  <c:v>390</c:v>
                </c:pt>
                <c:pt idx="164">
                  <c:v>390</c:v>
                </c:pt>
                <c:pt idx="165">
                  <c:v>390</c:v>
                </c:pt>
                <c:pt idx="166">
                  <c:v>390</c:v>
                </c:pt>
                <c:pt idx="167">
                  <c:v>390</c:v>
                </c:pt>
                <c:pt idx="168">
                  <c:v>390</c:v>
                </c:pt>
                <c:pt idx="169">
                  <c:v>390</c:v>
                </c:pt>
                <c:pt idx="170">
                  <c:v>390</c:v>
                </c:pt>
                <c:pt idx="171">
                  <c:v>390</c:v>
                </c:pt>
                <c:pt idx="172">
                  <c:v>390</c:v>
                </c:pt>
                <c:pt idx="173">
                  <c:v>390</c:v>
                </c:pt>
                <c:pt idx="174">
                  <c:v>390</c:v>
                </c:pt>
                <c:pt idx="175">
                  <c:v>390</c:v>
                </c:pt>
                <c:pt idx="176">
                  <c:v>390</c:v>
                </c:pt>
                <c:pt idx="177">
                  <c:v>390</c:v>
                </c:pt>
                <c:pt idx="178">
                  <c:v>390</c:v>
                </c:pt>
                <c:pt idx="179">
                  <c:v>390</c:v>
                </c:pt>
                <c:pt idx="180">
                  <c:v>390</c:v>
                </c:pt>
                <c:pt idx="181">
                  <c:v>390</c:v>
                </c:pt>
                <c:pt idx="182">
                  <c:v>390</c:v>
                </c:pt>
                <c:pt idx="183">
                  <c:v>536</c:v>
                </c:pt>
                <c:pt idx="184">
                  <c:v>536</c:v>
                </c:pt>
                <c:pt idx="185">
                  <c:v>536</c:v>
                </c:pt>
                <c:pt idx="186">
                  <c:v>536</c:v>
                </c:pt>
                <c:pt idx="187">
                  <c:v>536</c:v>
                </c:pt>
                <c:pt idx="188">
                  <c:v>536</c:v>
                </c:pt>
                <c:pt idx="189">
                  <c:v>536</c:v>
                </c:pt>
                <c:pt idx="190">
                  <c:v>536</c:v>
                </c:pt>
                <c:pt idx="191">
                  <c:v>536</c:v>
                </c:pt>
                <c:pt idx="192">
                  <c:v>536</c:v>
                </c:pt>
                <c:pt idx="193">
                  <c:v>536</c:v>
                </c:pt>
                <c:pt idx="194">
                  <c:v>536</c:v>
                </c:pt>
                <c:pt idx="195">
                  <c:v>536</c:v>
                </c:pt>
                <c:pt idx="196">
                  <c:v>536</c:v>
                </c:pt>
                <c:pt idx="197">
                  <c:v>536</c:v>
                </c:pt>
                <c:pt idx="198">
                  <c:v>536</c:v>
                </c:pt>
                <c:pt idx="199">
                  <c:v>536</c:v>
                </c:pt>
                <c:pt idx="200">
                  <c:v>536</c:v>
                </c:pt>
                <c:pt idx="201">
                  <c:v>536</c:v>
                </c:pt>
                <c:pt idx="202">
                  <c:v>536</c:v>
                </c:pt>
                <c:pt idx="203">
                  <c:v>536</c:v>
                </c:pt>
                <c:pt idx="204">
                  <c:v>536</c:v>
                </c:pt>
                <c:pt idx="205">
                  <c:v>536</c:v>
                </c:pt>
                <c:pt idx="206">
                  <c:v>536</c:v>
                </c:pt>
                <c:pt idx="207">
                  <c:v>536</c:v>
                </c:pt>
                <c:pt idx="208">
                  <c:v>536</c:v>
                </c:pt>
                <c:pt idx="209">
                  <c:v>536</c:v>
                </c:pt>
                <c:pt idx="210">
                  <c:v>536</c:v>
                </c:pt>
                <c:pt idx="211">
                  <c:v>536</c:v>
                </c:pt>
                <c:pt idx="212">
                  <c:v>536</c:v>
                </c:pt>
                <c:pt idx="213">
                  <c:v>536</c:v>
                </c:pt>
                <c:pt idx="214">
                  <c:v>696</c:v>
                </c:pt>
                <c:pt idx="215">
                  <c:v>696</c:v>
                </c:pt>
                <c:pt idx="216">
                  <c:v>696</c:v>
                </c:pt>
                <c:pt idx="217">
                  <c:v>696</c:v>
                </c:pt>
                <c:pt idx="218">
                  <c:v>696</c:v>
                </c:pt>
                <c:pt idx="219">
                  <c:v>696</c:v>
                </c:pt>
                <c:pt idx="220">
                  <c:v>696</c:v>
                </c:pt>
                <c:pt idx="221">
                  <c:v>696</c:v>
                </c:pt>
                <c:pt idx="222">
                  <c:v>696</c:v>
                </c:pt>
                <c:pt idx="223">
                  <c:v>696</c:v>
                </c:pt>
                <c:pt idx="224">
                  <c:v>696</c:v>
                </c:pt>
                <c:pt idx="225">
                  <c:v>696</c:v>
                </c:pt>
                <c:pt idx="226">
                  <c:v>696</c:v>
                </c:pt>
                <c:pt idx="227">
                  <c:v>696</c:v>
                </c:pt>
                <c:pt idx="228">
                  <c:v>696</c:v>
                </c:pt>
                <c:pt idx="229">
                  <c:v>696</c:v>
                </c:pt>
                <c:pt idx="230">
                  <c:v>696</c:v>
                </c:pt>
                <c:pt idx="231">
                  <c:v>696</c:v>
                </c:pt>
                <c:pt idx="232">
                  <c:v>696</c:v>
                </c:pt>
                <c:pt idx="233">
                  <c:v>696</c:v>
                </c:pt>
                <c:pt idx="234">
                  <c:v>696</c:v>
                </c:pt>
                <c:pt idx="235">
                  <c:v>696</c:v>
                </c:pt>
                <c:pt idx="236">
                  <c:v>696</c:v>
                </c:pt>
                <c:pt idx="237">
                  <c:v>696</c:v>
                </c:pt>
                <c:pt idx="238">
                  <c:v>696</c:v>
                </c:pt>
                <c:pt idx="239">
                  <c:v>696</c:v>
                </c:pt>
                <c:pt idx="240">
                  <c:v>696</c:v>
                </c:pt>
                <c:pt idx="241">
                  <c:v>696</c:v>
                </c:pt>
                <c:pt idx="242">
                  <c:v>1544</c:v>
                </c:pt>
                <c:pt idx="243">
                  <c:v>1544</c:v>
                </c:pt>
                <c:pt idx="244">
                  <c:v>1544</c:v>
                </c:pt>
                <c:pt idx="245">
                  <c:v>1544</c:v>
                </c:pt>
                <c:pt idx="246">
                  <c:v>1544</c:v>
                </c:pt>
                <c:pt idx="247">
                  <c:v>1544</c:v>
                </c:pt>
                <c:pt idx="248">
                  <c:v>1544</c:v>
                </c:pt>
                <c:pt idx="249">
                  <c:v>1544</c:v>
                </c:pt>
                <c:pt idx="250">
                  <c:v>1544</c:v>
                </c:pt>
                <c:pt idx="251">
                  <c:v>1544</c:v>
                </c:pt>
                <c:pt idx="252">
                  <c:v>1544</c:v>
                </c:pt>
                <c:pt idx="253">
                  <c:v>1544</c:v>
                </c:pt>
                <c:pt idx="254">
                  <c:v>1544</c:v>
                </c:pt>
                <c:pt idx="255">
                  <c:v>1544</c:v>
                </c:pt>
                <c:pt idx="256">
                  <c:v>1544</c:v>
                </c:pt>
                <c:pt idx="257">
                  <c:v>1544</c:v>
                </c:pt>
                <c:pt idx="258">
                  <c:v>1544</c:v>
                </c:pt>
                <c:pt idx="259">
                  <c:v>1544</c:v>
                </c:pt>
                <c:pt idx="260">
                  <c:v>1544</c:v>
                </c:pt>
                <c:pt idx="261">
                  <c:v>1544</c:v>
                </c:pt>
                <c:pt idx="262">
                  <c:v>1544</c:v>
                </c:pt>
                <c:pt idx="263">
                  <c:v>1544</c:v>
                </c:pt>
                <c:pt idx="264">
                  <c:v>1544</c:v>
                </c:pt>
                <c:pt idx="265">
                  <c:v>1544</c:v>
                </c:pt>
                <c:pt idx="266">
                  <c:v>1544</c:v>
                </c:pt>
                <c:pt idx="267">
                  <c:v>1544</c:v>
                </c:pt>
                <c:pt idx="268">
                  <c:v>1544</c:v>
                </c:pt>
                <c:pt idx="269">
                  <c:v>1544</c:v>
                </c:pt>
                <c:pt idx="270">
                  <c:v>1544</c:v>
                </c:pt>
                <c:pt idx="271">
                  <c:v>1544</c:v>
                </c:pt>
                <c:pt idx="272">
                  <c:v>1544</c:v>
                </c:pt>
                <c:pt idx="273">
                  <c:v>1027</c:v>
                </c:pt>
                <c:pt idx="274">
                  <c:v>1027</c:v>
                </c:pt>
                <c:pt idx="275">
                  <c:v>1027</c:v>
                </c:pt>
                <c:pt idx="276">
                  <c:v>1027</c:v>
                </c:pt>
                <c:pt idx="277">
                  <c:v>1027</c:v>
                </c:pt>
                <c:pt idx="278">
                  <c:v>1027</c:v>
                </c:pt>
                <c:pt idx="279">
                  <c:v>1027</c:v>
                </c:pt>
                <c:pt idx="280">
                  <c:v>1027</c:v>
                </c:pt>
                <c:pt idx="281">
                  <c:v>1027</c:v>
                </c:pt>
                <c:pt idx="282">
                  <c:v>1027</c:v>
                </c:pt>
                <c:pt idx="283">
                  <c:v>1027</c:v>
                </c:pt>
                <c:pt idx="284">
                  <c:v>1027</c:v>
                </c:pt>
                <c:pt idx="285">
                  <c:v>1027</c:v>
                </c:pt>
                <c:pt idx="286">
                  <c:v>1027</c:v>
                </c:pt>
                <c:pt idx="287">
                  <c:v>1027</c:v>
                </c:pt>
                <c:pt idx="288">
                  <c:v>1027</c:v>
                </c:pt>
                <c:pt idx="289">
                  <c:v>1027</c:v>
                </c:pt>
                <c:pt idx="290">
                  <c:v>1027</c:v>
                </c:pt>
                <c:pt idx="291">
                  <c:v>1027</c:v>
                </c:pt>
                <c:pt idx="292">
                  <c:v>1027</c:v>
                </c:pt>
                <c:pt idx="293">
                  <c:v>1027</c:v>
                </c:pt>
                <c:pt idx="294">
                  <c:v>1027</c:v>
                </c:pt>
                <c:pt idx="295">
                  <c:v>1027</c:v>
                </c:pt>
                <c:pt idx="296">
                  <c:v>1027</c:v>
                </c:pt>
                <c:pt idx="297">
                  <c:v>1027</c:v>
                </c:pt>
                <c:pt idx="298">
                  <c:v>1027</c:v>
                </c:pt>
                <c:pt idx="299">
                  <c:v>1027</c:v>
                </c:pt>
                <c:pt idx="300">
                  <c:v>1027</c:v>
                </c:pt>
                <c:pt idx="301">
                  <c:v>1027</c:v>
                </c:pt>
                <c:pt idx="302">
                  <c:v>1027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FE6-486C-9A45-F8FBC997A94C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5256415"/>
        <c:axId val="505272255"/>
      </c:lineChart>
      <c:dateAx>
        <c:axId val="505256415"/>
        <c:scaling>
          <c:orientation val="minMax"/>
        </c:scaling>
        <c:delete val="0"/>
        <c:axPos val="b"/>
        <c:numFmt formatCode="dd/mm/yy;@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05272255"/>
        <c:crosses val="autoZero"/>
        <c:auto val="0"/>
        <c:lblOffset val="100"/>
        <c:baseTimeUnit val="days"/>
      </c:dateAx>
      <c:valAx>
        <c:axId val="505272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05256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Динамика коэффициентов </a:t>
            </a:r>
            <a:r>
              <a:rPr lang="en-US"/>
              <a:t>SFW </a:t>
            </a:r>
            <a:r>
              <a:rPr lang="ru-RU"/>
              <a:t>и </a:t>
            </a:r>
            <a:r>
              <a:rPr lang="en-US"/>
              <a:t>SFM</a:t>
            </a:r>
            <a:endParaRPr lang="ru-RU"/>
          </a:p>
        </c:rich>
      </c:tx>
      <c:layout>
        <c:manualLayout>
          <c:xMode val="edge"/>
          <c:yMode val="edge"/>
          <c:x val="0.3726223157387164"/>
          <c:y val="1.29366106080206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DAU!$G$1</c:f>
              <c:strCache>
                <c:ptCount val="1"/>
                <c:pt idx="0">
                  <c:v>SFW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DAU!$C$4:$C$304</c:f>
              <c:numCache>
                <c:formatCode>dd/mm/yy;@</c:formatCode>
                <c:ptCount val="301"/>
                <c:pt idx="0">
                  <c:v>44746</c:v>
                </c:pt>
                <c:pt idx="1">
                  <c:v>44747</c:v>
                </c:pt>
                <c:pt idx="2">
                  <c:v>44748</c:v>
                </c:pt>
                <c:pt idx="3">
                  <c:v>44749</c:v>
                </c:pt>
                <c:pt idx="4">
                  <c:v>44750</c:v>
                </c:pt>
                <c:pt idx="5">
                  <c:v>44751</c:v>
                </c:pt>
                <c:pt idx="6">
                  <c:v>44752</c:v>
                </c:pt>
                <c:pt idx="7">
                  <c:v>44753</c:v>
                </c:pt>
                <c:pt idx="8">
                  <c:v>44754</c:v>
                </c:pt>
                <c:pt idx="9">
                  <c:v>44755</c:v>
                </c:pt>
                <c:pt idx="10">
                  <c:v>44756</c:v>
                </c:pt>
                <c:pt idx="11">
                  <c:v>44757</c:v>
                </c:pt>
                <c:pt idx="12">
                  <c:v>44758</c:v>
                </c:pt>
                <c:pt idx="13">
                  <c:v>44759</c:v>
                </c:pt>
                <c:pt idx="14">
                  <c:v>44760</c:v>
                </c:pt>
                <c:pt idx="15">
                  <c:v>44761</c:v>
                </c:pt>
                <c:pt idx="16">
                  <c:v>44762</c:v>
                </c:pt>
                <c:pt idx="17">
                  <c:v>44763</c:v>
                </c:pt>
                <c:pt idx="18">
                  <c:v>44764</c:v>
                </c:pt>
                <c:pt idx="19">
                  <c:v>44765</c:v>
                </c:pt>
                <c:pt idx="20">
                  <c:v>44766</c:v>
                </c:pt>
                <c:pt idx="21">
                  <c:v>44767</c:v>
                </c:pt>
                <c:pt idx="22">
                  <c:v>44768</c:v>
                </c:pt>
                <c:pt idx="23">
                  <c:v>44769</c:v>
                </c:pt>
                <c:pt idx="24">
                  <c:v>44770</c:v>
                </c:pt>
                <c:pt idx="25">
                  <c:v>44771</c:v>
                </c:pt>
                <c:pt idx="26">
                  <c:v>44772</c:v>
                </c:pt>
                <c:pt idx="27">
                  <c:v>44773</c:v>
                </c:pt>
                <c:pt idx="28">
                  <c:v>44774</c:v>
                </c:pt>
                <c:pt idx="29">
                  <c:v>44775</c:v>
                </c:pt>
                <c:pt idx="30">
                  <c:v>44776</c:v>
                </c:pt>
                <c:pt idx="31">
                  <c:v>44777</c:v>
                </c:pt>
                <c:pt idx="32">
                  <c:v>44778</c:v>
                </c:pt>
                <c:pt idx="33">
                  <c:v>44779</c:v>
                </c:pt>
                <c:pt idx="34">
                  <c:v>44780</c:v>
                </c:pt>
                <c:pt idx="35">
                  <c:v>44781</c:v>
                </c:pt>
                <c:pt idx="36">
                  <c:v>44782</c:v>
                </c:pt>
                <c:pt idx="37">
                  <c:v>44783</c:v>
                </c:pt>
                <c:pt idx="38">
                  <c:v>44784</c:v>
                </c:pt>
                <c:pt idx="39">
                  <c:v>44785</c:v>
                </c:pt>
                <c:pt idx="40">
                  <c:v>44786</c:v>
                </c:pt>
                <c:pt idx="41">
                  <c:v>44787</c:v>
                </c:pt>
                <c:pt idx="42">
                  <c:v>44788</c:v>
                </c:pt>
                <c:pt idx="43">
                  <c:v>44789</c:v>
                </c:pt>
                <c:pt idx="44">
                  <c:v>44790</c:v>
                </c:pt>
                <c:pt idx="45">
                  <c:v>44791</c:v>
                </c:pt>
                <c:pt idx="46">
                  <c:v>44792</c:v>
                </c:pt>
                <c:pt idx="47">
                  <c:v>44793</c:v>
                </c:pt>
                <c:pt idx="48">
                  <c:v>44794</c:v>
                </c:pt>
                <c:pt idx="49">
                  <c:v>44795</c:v>
                </c:pt>
                <c:pt idx="50">
                  <c:v>44796</c:v>
                </c:pt>
                <c:pt idx="51">
                  <c:v>44797</c:v>
                </c:pt>
                <c:pt idx="52">
                  <c:v>44798</c:v>
                </c:pt>
                <c:pt idx="53">
                  <c:v>44799</c:v>
                </c:pt>
                <c:pt idx="54">
                  <c:v>44800</c:v>
                </c:pt>
                <c:pt idx="55">
                  <c:v>44801</c:v>
                </c:pt>
                <c:pt idx="56">
                  <c:v>44802</c:v>
                </c:pt>
                <c:pt idx="57">
                  <c:v>44803</c:v>
                </c:pt>
                <c:pt idx="58">
                  <c:v>44804</c:v>
                </c:pt>
                <c:pt idx="59">
                  <c:v>44805</c:v>
                </c:pt>
                <c:pt idx="60">
                  <c:v>44806</c:v>
                </c:pt>
                <c:pt idx="61">
                  <c:v>44807</c:v>
                </c:pt>
                <c:pt idx="62">
                  <c:v>44808</c:v>
                </c:pt>
                <c:pt idx="63">
                  <c:v>44809</c:v>
                </c:pt>
                <c:pt idx="64">
                  <c:v>44810</c:v>
                </c:pt>
                <c:pt idx="65">
                  <c:v>44811</c:v>
                </c:pt>
                <c:pt idx="66">
                  <c:v>44812</c:v>
                </c:pt>
                <c:pt idx="67">
                  <c:v>44813</c:v>
                </c:pt>
                <c:pt idx="68">
                  <c:v>44814</c:v>
                </c:pt>
                <c:pt idx="69">
                  <c:v>44815</c:v>
                </c:pt>
                <c:pt idx="70">
                  <c:v>44816</c:v>
                </c:pt>
                <c:pt idx="71">
                  <c:v>44817</c:v>
                </c:pt>
                <c:pt idx="72">
                  <c:v>44818</c:v>
                </c:pt>
                <c:pt idx="73">
                  <c:v>44819</c:v>
                </c:pt>
                <c:pt idx="74">
                  <c:v>44820</c:v>
                </c:pt>
                <c:pt idx="75">
                  <c:v>44821</c:v>
                </c:pt>
                <c:pt idx="76">
                  <c:v>44822</c:v>
                </c:pt>
                <c:pt idx="77">
                  <c:v>44823</c:v>
                </c:pt>
                <c:pt idx="78">
                  <c:v>44824</c:v>
                </c:pt>
                <c:pt idx="79">
                  <c:v>44825</c:v>
                </c:pt>
                <c:pt idx="80">
                  <c:v>44826</c:v>
                </c:pt>
                <c:pt idx="81">
                  <c:v>44827</c:v>
                </c:pt>
                <c:pt idx="82">
                  <c:v>44828</c:v>
                </c:pt>
                <c:pt idx="83">
                  <c:v>44829</c:v>
                </c:pt>
                <c:pt idx="84">
                  <c:v>44830</c:v>
                </c:pt>
                <c:pt idx="85">
                  <c:v>44831</c:v>
                </c:pt>
                <c:pt idx="86">
                  <c:v>44832</c:v>
                </c:pt>
                <c:pt idx="87">
                  <c:v>44833</c:v>
                </c:pt>
                <c:pt idx="88">
                  <c:v>44834</c:v>
                </c:pt>
                <c:pt idx="89">
                  <c:v>44835</c:v>
                </c:pt>
                <c:pt idx="90">
                  <c:v>44836</c:v>
                </c:pt>
                <c:pt idx="91">
                  <c:v>44837</c:v>
                </c:pt>
                <c:pt idx="92">
                  <c:v>44838</c:v>
                </c:pt>
                <c:pt idx="93">
                  <c:v>44839</c:v>
                </c:pt>
                <c:pt idx="94">
                  <c:v>44840</c:v>
                </c:pt>
                <c:pt idx="95">
                  <c:v>44841</c:v>
                </c:pt>
                <c:pt idx="96">
                  <c:v>44842</c:v>
                </c:pt>
                <c:pt idx="97">
                  <c:v>44843</c:v>
                </c:pt>
                <c:pt idx="98">
                  <c:v>44844</c:v>
                </c:pt>
                <c:pt idx="99">
                  <c:v>44845</c:v>
                </c:pt>
                <c:pt idx="100">
                  <c:v>44846</c:v>
                </c:pt>
                <c:pt idx="101">
                  <c:v>44847</c:v>
                </c:pt>
                <c:pt idx="102">
                  <c:v>44848</c:v>
                </c:pt>
                <c:pt idx="103">
                  <c:v>44849</c:v>
                </c:pt>
                <c:pt idx="104">
                  <c:v>44850</c:v>
                </c:pt>
                <c:pt idx="105">
                  <c:v>44851</c:v>
                </c:pt>
                <c:pt idx="106">
                  <c:v>44852</c:v>
                </c:pt>
                <c:pt idx="107">
                  <c:v>44853</c:v>
                </c:pt>
                <c:pt idx="108">
                  <c:v>44854</c:v>
                </c:pt>
                <c:pt idx="109">
                  <c:v>44855</c:v>
                </c:pt>
                <c:pt idx="110">
                  <c:v>44856</c:v>
                </c:pt>
                <c:pt idx="111">
                  <c:v>44857</c:v>
                </c:pt>
                <c:pt idx="112">
                  <c:v>44858</c:v>
                </c:pt>
                <c:pt idx="113">
                  <c:v>44859</c:v>
                </c:pt>
                <c:pt idx="114">
                  <c:v>44860</c:v>
                </c:pt>
                <c:pt idx="115">
                  <c:v>44861</c:v>
                </c:pt>
                <c:pt idx="116">
                  <c:v>44862</c:v>
                </c:pt>
                <c:pt idx="117">
                  <c:v>44863</c:v>
                </c:pt>
                <c:pt idx="118">
                  <c:v>44864</c:v>
                </c:pt>
                <c:pt idx="119">
                  <c:v>44865</c:v>
                </c:pt>
                <c:pt idx="120">
                  <c:v>44866</c:v>
                </c:pt>
                <c:pt idx="121">
                  <c:v>44867</c:v>
                </c:pt>
                <c:pt idx="122">
                  <c:v>44868</c:v>
                </c:pt>
                <c:pt idx="123">
                  <c:v>44869</c:v>
                </c:pt>
                <c:pt idx="124">
                  <c:v>44870</c:v>
                </c:pt>
                <c:pt idx="125">
                  <c:v>44871</c:v>
                </c:pt>
                <c:pt idx="126">
                  <c:v>44872</c:v>
                </c:pt>
                <c:pt idx="127">
                  <c:v>44873</c:v>
                </c:pt>
                <c:pt idx="128">
                  <c:v>44874</c:v>
                </c:pt>
                <c:pt idx="129">
                  <c:v>44875</c:v>
                </c:pt>
                <c:pt idx="130">
                  <c:v>44876</c:v>
                </c:pt>
                <c:pt idx="131">
                  <c:v>44877</c:v>
                </c:pt>
                <c:pt idx="132">
                  <c:v>44878</c:v>
                </c:pt>
                <c:pt idx="133">
                  <c:v>44879</c:v>
                </c:pt>
                <c:pt idx="134">
                  <c:v>44880</c:v>
                </c:pt>
                <c:pt idx="135">
                  <c:v>44881</c:v>
                </c:pt>
                <c:pt idx="136">
                  <c:v>44882</c:v>
                </c:pt>
                <c:pt idx="137">
                  <c:v>44883</c:v>
                </c:pt>
                <c:pt idx="138">
                  <c:v>44884</c:v>
                </c:pt>
                <c:pt idx="139">
                  <c:v>44885</c:v>
                </c:pt>
                <c:pt idx="140">
                  <c:v>44886</c:v>
                </c:pt>
                <c:pt idx="141">
                  <c:v>44887</c:v>
                </c:pt>
                <c:pt idx="142">
                  <c:v>44888</c:v>
                </c:pt>
                <c:pt idx="143">
                  <c:v>44889</c:v>
                </c:pt>
                <c:pt idx="144">
                  <c:v>44890</c:v>
                </c:pt>
                <c:pt idx="145">
                  <c:v>44891</c:v>
                </c:pt>
                <c:pt idx="146">
                  <c:v>44892</c:v>
                </c:pt>
                <c:pt idx="147">
                  <c:v>44893</c:v>
                </c:pt>
                <c:pt idx="148">
                  <c:v>44894</c:v>
                </c:pt>
                <c:pt idx="149">
                  <c:v>44895</c:v>
                </c:pt>
                <c:pt idx="150">
                  <c:v>44896</c:v>
                </c:pt>
                <c:pt idx="151">
                  <c:v>44897</c:v>
                </c:pt>
                <c:pt idx="152">
                  <c:v>44898</c:v>
                </c:pt>
                <c:pt idx="153">
                  <c:v>44899</c:v>
                </c:pt>
                <c:pt idx="154">
                  <c:v>44900</c:v>
                </c:pt>
                <c:pt idx="155">
                  <c:v>44901</c:v>
                </c:pt>
                <c:pt idx="156">
                  <c:v>44902</c:v>
                </c:pt>
                <c:pt idx="157">
                  <c:v>44903</c:v>
                </c:pt>
                <c:pt idx="158">
                  <c:v>44904</c:v>
                </c:pt>
                <c:pt idx="159">
                  <c:v>44905</c:v>
                </c:pt>
                <c:pt idx="160">
                  <c:v>44906</c:v>
                </c:pt>
                <c:pt idx="161">
                  <c:v>44907</c:v>
                </c:pt>
                <c:pt idx="162">
                  <c:v>44908</c:v>
                </c:pt>
                <c:pt idx="163">
                  <c:v>44909</c:v>
                </c:pt>
                <c:pt idx="164">
                  <c:v>44910</c:v>
                </c:pt>
                <c:pt idx="165">
                  <c:v>44911</c:v>
                </c:pt>
                <c:pt idx="166">
                  <c:v>44912</c:v>
                </c:pt>
                <c:pt idx="167">
                  <c:v>44913</c:v>
                </c:pt>
                <c:pt idx="168">
                  <c:v>44914</c:v>
                </c:pt>
                <c:pt idx="169">
                  <c:v>44915</c:v>
                </c:pt>
                <c:pt idx="170">
                  <c:v>44916</c:v>
                </c:pt>
                <c:pt idx="171">
                  <c:v>44917</c:v>
                </c:pt>
                <c:pt idx="172">
                  <c:v>44918</c:v>
                </c:pt>
                <c:pt idx="173">
                  <c:v>44919</c:v>
                </c:pt>
                <c:pt idx="174">
                  <c:v>44920</c:v>
                </c:pt>
                <c:pt idx="175">
                  <c:v>44921</c:v>
                </c:pt>
                <c:pt idx="176">
                  <c:v>44922</c:v>
                </c:pt>
                <c:pt idx="177">
                  <c:v>44923</c:v>
                </c:pt>
                <c:pt idx="178">
                  <c:v>44924</c:v>
                </c:pt>
                <c:pt idx="179">
                  <c:v>44925</c:v>
                </c:pt>
                <c:pt idx="180">
                  <c:v>44926</c:v>
                </c:pt>
                <c:pt idx="181">
                  <c:v>44927</c:v>
                </c:pt>
                <c:pt idx="182">
                  <c:v>44928</c:v>
                </c:pt>
                <c:pt idx="183">
                  <c:v>44929</c:v>
                </c:pt>
                <c:pt idx="184">
                  <c:v>44930</c:v>
                </c:pt>
                <c:pt idx="185">
                  <c:v>44931</c:v>
                </c:pt>
                <c:pt idx="186">
                  <c:v>44932</c:v>
                </c:pt>
                <c:pt idx="187">
                  <c:v>44933</c:v>
                </c:pt>
                <c:pt idx="188">
                  <c:v>44934</c:v>
                </c:pt>
                <c:pt idx="189">
                  <c:v>44935</c:v>
                </c:pt>
                <c:pt idx="190">
                  <c:v>44936</c:v>
                </c:pt>
                <c:pt idx="191">
                  <c:v>44937</c:v>
                </c:pt>
                <c:pt idx="192">
                  <c:v>44938</c:v>
                </c:pt>
                <c:pt idx="193">
                  <c:v>44939</c:v>
                </c:pt>
                <c:pt idx="194">
                  <c:v>44940</c:v>
                </c:pt>
                <c:pt idx="195">
                  <c:v>44941</c:v>
                </c:pt>
                <c:pt idx="196">
                  <c:v>44942</c:v>
                </c:pt>
                <c:pt idx="197">
                  <c:v>44943</c:v>
                </c:pt>
                <c:pt idx="198">
                  <c:v>44944</c:v>
                </c:pt>
                <c:pt idx="199">
                  <c:v>44945</c:v>
                </c:pt>
                <c:pt idx="200">
                  <c:v>44946</c:v>
                </c:pt>
                <c:pt idx="201">
                  <c:v>44947</c:v>
                </c:pt>
                <c:pt idx="202">
                  <c:v>44948</c:v>
                </c:pt>
                <c:pt idx="203">
                  <c:v>44949</c:v>
                </c:pt>
                <c:pt idx="204">
                  <c:v>44950</c:v>
                </c:pt>
                <c:pt idx="205">
                  <c:v>44951</c:v>
                </c:pt>
                <c:pt idx="206">
                  <c:v>44952</c:v>
                </c:pt>
                <c:pt idx="207">
                  <c:v>44953</c:v>
                </c:pt>
                <c:pt idx="208">
                  <c:v>44954</c:v>
                </c:pt>
                <c:pt idx="209">
                  <c:v>44955</c:v>
                </c:pt>
                <c:pt idx="210">
                  <c:v>44956</c:v>
                </c:pt>
                <c:pt idx="211">
                  <c:v>44957</c:v>
                </c:pt>
                <c:pt idx="212">
                  <c:v>44958</c:v>
                </c:pt>
                <c:pt idx="213">
                  <c:v>44959</c:v>
                </c:pt>
                <c:pt idx="214">
                  <c:v>44960</c:v>
                </c:pt>
                <c:pt idx="215">
                  <c:v>44961</c:v>
                </c:pt>
                <c:pt idx="216">
                  <c:v>44962</c:v>
                </c:pt>
                <c:pt idx="217">
                  <c:v>44963</c:v>
                </c:pt>
                <c:pt idx="218">
                  <c:v>44964</c:v>
                </c:pt>
                <c:pt idx="219">
                  <c:v>44965</c:v>
                </c:pt>
                <c:pt idx="220">
                  <c:v>44966</c:v>
                </c:pt>
                <c:pt idx="221">
                  <c:v>44967</c:v>
                </c:pt>
                <c:pt idx="222">
                  <c:v>44968</c:v>
                </c:pt>
                <c:pt idx="223">
                  <c:v>44969</c:v>
                </c:pt>
                <c:pt idx="224">
                  <c:v>44970</c:v>
                </c:pt>
                <c:pt idx="225">
                  <c:v>44971</c:v>
                </c:pt>
                <c:pt idx="226">
                  <c:v>44972</c:v>
                </c:pt>
                <c:pt idx="227">
                  <c:v>44973</c:v>
                </c:pt>
                <c:pt idx="228">
                  <c:v>44974</c:v>
                </c:pt>
                <c:pt idx="229">
                  <c:v>44975</c:v>
                </c:pt>
                <c:pt idx="230">
                  <c:v>44976</c:v>
                </c:pt>
                <c:pt idx="231">
                  <c:v>44977</c:v>
                </c:pt>
                <c:pt idx="232">
                  <c:v>44978</c:v>
                </c:pt>
                <c:pt idx="233">
                  <c:v>44979</c:v>
                </c:pt>
                <c:pt idx="234">
                  <c:v>44980</c:v>
                </c:pt>
                <c:pt idx="235">
                  <c:v>44981</c:v>
                </c:pt>
                <c:pt idx="236">
                  <c:v>44982</c:v>
                </c:pt>
                <c:pt idx="237">
                  <c:v>44983</c:v>
                </c:pt>
                <c:pt idx="238">
                  <c:v>44984</c:v>
                </c:pt>
                <c:pt idx="239">
                  <c:v>44985</c:v>
                </c:pt>
                <c:pt idx="240">
                  <c:v>44986</c:v>
                </c:pt>
                <c:pt idx="241">
                  <c:v>44987</c:v>
                </c:pt>
                <c:pt idx="242">
                  <c:v>44988</c:v>
                </c:pt>
                <c:pt idx="243">
                  <c:v>44989</c:v>
                </c:pt>
                <c:pt idx="244">
                  <c:v>44990</c:v>
                </c:pt>
                <c:pt idx="245">
                  <c:v>44991</c:v>
                </c:pt>
                <c:pt idx="246">
                  <c:v>44992</c:v>
                </c:pt>
                <c:pt idx="247">
                  <c:v>44993</c:v>
                </c:pt>
                <c:pt idx="248">
                  <c:v>44994</c:v>
                </c:pt>
                <c:pt idx="249">
                  <c:v>44995</c:v>
                </c:pt>
                <c:pt idx="250">
                  <c:v>44996</c:v>
                </c:pt>
                <c:pt idx="251">
                  <c:v>44997</c:v>
                </c:pt>
                <c:pt idx="252">
                  <c:v>44998</c:v>
                </c:pt>
                <c:pt idx="253">
                  <c:v>44999</c:v>
                </c:pt>
                <c:pt idx="254">
                  <c:v>45000</c:v>
                </c:pt>
                <c:pt idx="255">
                  <c:v>45001</c:v>
                </c:pt>
                <c:pt idx="256">
                  <c:v>45002</c:v>
                </c:pt>
                <c:pt idx="257">
                  <c:v>45003</c:v>
                </c:pt>
                <c:pt idx="258">
                  <c:v>45004</c:v>
                </c:pt>
                <c:pt idx="259">
                  <c:v>45005</c:v>
                </c:pt>
                <c:pt idx="260">
                  <c:v>45006</c:v>
                </c:pt>
                <c:pt idx="261">
                  <c:v>45007</c:v>
                </c:pt>
                <c:pt idx="262">
                  <c:v>45008</c:v>
                </c:pt>
                <c:pt idx="263">
                  <c:v>45009</c:v>
                </c:pt>
                <c:pt idx="264">
                  <c:v>45010</c:v>
                </c:pt>
                <c:pt idx="265">
                  <c:v>45011</c:v>
                </c:pt>
                <c:pt idx="266">
                  <c:v>45012</c:v>
                </c:pt>
                <c:pt idx="267">
                  <c:v>45013</c:v>
                </c:pt>
                <c:pt idx="268">
                  <c:v>45014</c:v>
                </c:pt>
                <c:pt idx="269">
                  <c:v>45015</c:v>
                </c:pt>
                <c:pt idx="270">
                  <c:v>45016</c:v>
                </c:pt>
                <c:pt idx="271">
                  <c:v>45017</c:v>
                </c:pt>
                <c:pt idx="272">
                  <c:v>45018</c:v>
                </c:pt>
                <c:pt idx="273">
                  <c:v>45019</c:v>
                </c:pt>
                <c:pt idx="274">
                  <c:v>45020</c:v>
                </c:pt>
                <c:pt idx="275">
                  <c:v>45021</c:v>
                </c:pt>
                <c:pt idx="276">
                  <c:v>45022</c:v>
                </c:pt>
                <c:pt idx="277">
                  <c:v>45023</c:v>
                </c:pt>
                <c:pt idx="278">
                  <c:v>45024</c:v>
                </c:pt>
                <c:pt idx="279">
                  <c:v>45025</c:v>
                </c:pt>
                <c:pt idx="280">
                  <c:v>45026</c:v>
                </c:pt>
                <c:pt idx="281">
                  <c:v>45027</c:v>
                </c:pt>
                <c:pt idx="282">
                  <c:v>45028</c:v>
                </c:pt>
                <c:pt idx="283">
                  <c:v>45029</c:v>
                </c:pt>
                <c:pt idx="284">
                  <c:v>45030</c:v>
                </c:pt>
                <c:pt idx="285">
                  <c:v>45031</c:v>
                </c:pt>
                <c:pt idx="286">
                  <c:v>45032</c:v>
                </c:pt>
                <c:pt idx="287">
                  <c:v>45033</c:v>
                </c:pt>
                <c:pt idx="288">
                  <c:v>45034</c:v>
                </c:pt>
                <c:pt idx="289">
                  <c:v>45035</c:v>
                </c:pt>
                <c:pt idx="290">
                  <c:v>45036</c:v>
                </c:pt>
                <c:pt idx="291">
                  <c:v>45037</c:v>
                </c:pt>
                <c:pt idx="292">
                  <c:v>45038</c:v>
                </c:pt>
                <c:pt idx="293">
                  <c:v>45039</c:v>
                </c:pt>
                <c:pt idx="294">
                  <c:v>45040</c:v>
                </c:pt>
                <c:pt idx="295">
                  <c:v>45041</c:v>
                </c:pt>
                <c:pt idx="296">
                  <c:v>45042</c:v>
                </c:pt>
                <c:pt idx="297">
                  <c:v>45043</c:v>
                </c:pt>
                <c:pt idx="298">
                  <c:v>45044</c:v>
                </c:pt>
                <c:pt idx="299">
                  <c:v>45045</c:v>
                </c:pt>
                <c:pt idx="300">
                  <c:v>45046</c:v>
                </c:pt>
              </c:numCache>
            </c:numRef>
          </c:cat>
          <c:val>
            <c:numRef>
              <c:f>DAU!$G$4:$G$304</c:f>
              <c:numCache>
                <c:formatCode>General</c:formatCode>
                <c:ptCount val="301"/>
                <c:pt idx="0">
                  <c:v>8.4745762711864403E-2</c:v>
                </c:pt>
                <c:pt idx="1">
                  <c:v>0.16949152542372881</c:v>
                </c:pt>
                <c:pt idx="2">
                  <c:v>8.4745762711864403E-2</c:v>
                </c:pt>
                <c:pt idx="3">
                  <c:v>0.22033898305084745</c:v>
                </c:pt>
                <c:pt idx="4">
                  <c:v>0.3728813559322034</c:v>
                </c:pt>
                <c:pt idx="5">
                  <c:v>0.3728813559322034</c:v>
                </c:pt>
                <c:pt idx="6">
                  <c:v>0.44067796610169491</c:v>
                </c:pt>
                <c:pt idx="7">
                  <c:v>0.25</c:v>
                </c:pt>
                <c:pt idx="8">
                  <c:v>0.2608695652173913</c:v>
                </c:pt>
                <c:pt idx="9">
                  <c:v>0.32608695652173914</c:v>
                </c:pt>
                <c:pt idx="10">
                  <c:v>0.34782608695652173</c:v>
                </c:pt>
                <c:pt idx="11">
                  <c:v>0.27173913043478259</c:v>
                </c:pt>
                <c:pt idx="12">
                  <c:v>0.36956521739130432</c:v>
                </c:pt>
                <c:pt idx="13">
                  <c:v>0.42391304347826086</c:v>
                </c:pt>
                <c:pt idx="14">
                  <c:v>0.16541353383458646</c:v>
                </c:pt>
                <c:pt idx="15">
                  <c:v>0.2857142857142857</c:v>
                </c:pt>
                <c:pt idx="16">
                  <c:v>0.25563909774436089</c:v>
                </c:pt>
                <c:pt idx="17">
                  <c:v>0.37593984962406013</c:v>
                </c:pt>
                <c:pt idx="18">
                  <c:v>0.32330827067669171</c:v>
                </c:pt>
                <c:pt idx="19">
                  <c:v>0.32330827067669171</c:v>
                </c:pt>
                <c:pt idx="20">
                  <c:v>0.39849624060150374</c:v>
                </c:pt>
                <c:pt idx="21">
                  <c:v>0.34426229508196721</c:v>
                </c:pt>
                <c:pt idx="22">
                  <c:v>0.26229508196721313</c:v>
                </c:pt>
                <c:pt idx="23">
                  <c:v>0.32240437158469948</c:v>
                </c:pt>
                <c:pt idx="24">
                  <c:v>0.32240437158469948</c:v>
                </c:pt>
                <c:pt idx="25">
                  <c:v>0.33333333333333331</c:v>
                </c:pt>
                <c:pt idx="26">
                  <c:v>0.34972677595628415</c:v>
                </c:pt>
                <c:pt idx="27">
                  <c:v>0.34972677595628415</c:v>
                </c:pt>
                <c:pt idx="28">
                  <c:v>0.25742574257425743</c:v>
                </c:pt>
                <c:pt idx="29">
                  <c:v>0.30693069306930693</c:v>
                </c:pt>
                <c:pt idx="30">
                  <c:v>0.2722772277227723</c:v>
                </c:pt>
                <c:pt idx="31">
                  <c:v>0.29702970297029702</c:v>
                </c:pt>
                <c:pt idx="32">
                  <c:v>0.25742574257425743</c:v>
                </c:pt>
                <c:pt idx="33">
                  <c:v>0.30693069306930693</c:v>
                </c:pt>
                <c:pt idx="34">
                  <c:v>0.29207920792079206</c:v>
                </c:pt>
                <c:pt idx="35">
                  <c:v>0.30051813471502592</c:v>
                </c:pt>
                <c:pt idx="36">
                  <c:v>0.27461139896373055</c:v>
                </c:pt>
                <c:pt idx="37">
                  <c:v>0.28497409326424872</c:v>
                </c:pt>
                <c:pt idx="38">
                  <c:v>0.33678756476683935</c:v>
                </c:pt>
                <c:pt idx="39">
                  <c:v>0.27979274611398963</c:v>
                </c:pt>
                <c:pt idx="40">
                  <c:v>0.38341968911917096</c:v>
                </c:pt>
                <c:pt idx="41">
                  <c:v>0.30569948186528495</c:v>
                </c:pt>
                <c:pt idx="42">
                  <c:v>0.26865671641791045</c:v>
                </c:pt>
                <c:pt idx="43">
                  <c:v>0.3383084577114428</c:v>
                </c:pt>
                <c:pt idx="44">
                  <c:v>0.29353233830845771</c:v>
                </c:pt>
                <c:pt idx="45">
                  <c:v>0.30348258706467662</c:v>
                </c:pt>
                <c:pt idx="46">
                  <c:v>0.28855721393034828</c:v>
                </c:pt>
                <c:pt idx="47">
                  <c:v>0.33333333333333331</c:v>
                </c:pt>
                <c:pt idx="48">
                  <c:v>0.30845771144278605</c:v>
                </c:pt>
                <c:pt idx="49">
                  <c:v>0.25728155339805825</c:v>
                </c:pt>
                <c:pt idx="50">
                  <c:v>0.29126213592233008</c:v>
                </c:pt>
                <c:pt idx="51">
                  <c:v>0.32524271844660196</c:v>
                </c:pt>
                <c:pt idx="52">
                  <c:v>0.32524271844660196</c:v>
                </c:pt>
                <c:pt idx="53">
                  <c:v>0.29611650485436891</c:v>
                </c:pt>
                <c:pt idx="54">
                  <c:v>0.30582524271844658</c:v>
                </c:pt>
                <c:pt idx="55">
                  <c:v>0.29611650485436891</c:v>
                </c:pt>
                <c:pt idx="56">
                  <c:v>0.28125</c:v>
                </c:pt>
                <c:pt idx="57">
                  <c:v>0.375</c:v>
                </c:pt>
                <c:pt idx="58">
                  <c:v>0.28125</c:v>
                </c:pt>
                <c:pt idx="59">
                  <c:v>0.34375</c:v>
                </c:pt>
                <c:pt idx="60">
                  <c:v>0.31770833333333331</c:v>
                </c:pt>
                <c:pt idx="61">
                  <c:v>0.30208333333333331</c:v>
                </c:pt>
                <c:pt idx="62">
                  <c:v>0.33333333333333331</c:v>
                </c:pt>
                <c:pt idx="63">
                  <c:v>0.31632653061224492</c:v>
                </c:pt>
                <c:pt idx="64">
                  <c:v>0.23469387755102042</c:v>
                </c:pt>
                <c:pt idx="65">
                  <c:v>0.25</c:v>
                </c:pt>
                <c:pt idx="66">
                  <c:v>0.30102040816326531</c:v>
                </c:pt>
                <c:pt idx="67">
                  <c:v>0.30612244897959184</c:v>
                </c:pt>
                <c:pt idx="68">
                  <c:v>0.27040816326530615</c:v>
                </c:pt>
                <c:pt idx="69">
                  <c:v>0.31122448979591838</c:v>
                </c:pt>
                <c:pt idx="70">
                  <c:v>0.28292682926829266</c:v>
                </c:pt>
                <c:pt idx="71">
                  <c:v>0.31219512195121951</c:v>
                </c:pt>
                <c:pt idx="72">
                  <c:v>0.31707317073170732</c:v>
                </c:pt>
                <c:pt idx="73">
                  <c:v>0.36097560975609755</c:v>
                </c:pt>
                <c:pt idx="74">
                  <c:v>0.28292682926829266</c:v>
                </c:pt>
                <c:pt idx="75">
                  <c:v>0.30243902439024389</c:v>
                </c:pt>
                <c:pt idx="76">
                  <c:v>0.33658536585365856</c:v>
                </c:pt>
                <c:pt idx="77">
                  <c:v>0.30985915492957744</c:v>
                </c:pt>
                <c:pt idx="78">
                  <c:v>0.31455399061032863</c:v>
                </c:pt>
                <c:pt idx="79">
                  <c:v>0.33333333333333331</c:v>
                </c:pt>
                <c:pt idx="80">
                  <c:v>0.31455399061032863</c:v>
                </c:pt>
                <c:pt idx="81">
                  <c:v>0.25821596244131456</c:v>
                </c:pt>
                <c:pt idx="82">
                  <c:v>0.27230046948356806</c:v>
                </c:pt>
                <c:pt idx="83">
                  <c:v>0.34272300469483569</c:v>
                </c:pt>
                <c:pt idx="84">
                  <c:v>0.27884615384615385</c:v>
                </c:pt>
                <c:pt idx="85">
                  <c:v>0.36538461538461536</c:v>
                </c:pt>
                <c:pt idx="86">
                  <c:v>0.29807692307692307</c:v>
                </c:pt>
                <c:pt idx="87">
                  <c:v>0.31730769230769229</c:v>
                </c:pt>
                <c:pt idx="88">
                  <c:v>0.28365384615384615</c:v>
                </c:pt>
                <c:pt idx="89">
                  <c:v>0.29326923076923078</c:v>
                </c:pt>
                <c:pt idx="90">
                  <c:v>0.25</c:v>
                </c:pt>
                <c:pt idx="91">
                  <c:v>0.33333333333333331</c:v>
                </c:pt>
                <c:pt idx="92">
                  <c:v>0.33816425120772947</c:v>
                </c:pt>
                <c:pt idx="93">
                  <c:v>0.21739130434782608</c:v>
                </c:pt>
                <c:pt idx="94">
                  <c:v>0.3719806763285024</c:v>
                </c:pt>
                <c:pt idx="95">
                  <c:v>0.29468599033816423</c:v>
                </c:pt>
                <c:pt idx="96">
                  <c:v>0.27053140096618356</c:v>
                </c:pt>
                <c:pt idx="97">
                  <c:v>0.3188405797101449</c:v>
                </c:pt>
                <c:pt idx="98">
                  <c:v>0.25</c:v>
                </c:pt>
                <c:pt idx="99">
                  <c:v>0.28921568627450983</c:v>
                </c:pt>
                <c:pt idx="100">
                  <c:v>0.31862745098039214</c:v>
                </c:pt>
                <c:pt idx="101">
                  <c:v>0.25980392156862747</c:v>
                </c:pt>
                <c:pt idx="102">
                  <c:v>0.35294117647058826</c:v>
                </c:pt>
                <c:pt idx="103">
                  <c:v>0.30392156862745096</c:v>
                </c:pt>
                <c:pt idx="104">
                  <c:v>0.30392156862745096</c:v>
                </c:pt>
                <c:pt idx="105">
                  <c:v>0.34825870646766172</c:v>
                </c:pt>
                <c:pt idx="106">
                  <c:v>0.30845771144278605</c:v>
                </c:pt>
                <c:pt idx="107">
                  <c:v>0.4079601990049751</c:v>
                </c:pt>
                <c:pt idx="108">
                  <c:v>0.25870646766169153</c:v>
                </c:pt>
                <c:pt idx="109">
                  <c:v>0.32338308457711445</c:v>
                </c:pt>
                <c:pt idx="110">
                  <c:v>0.31840796019900497</c:v>
                </c:pt>
                <c:pt idx="111">
                  <c:v>0.28358208955223879</c:v>
                </c:pt>
                <c:pt idx="112">
                  <c:v>0.27230046948356806</c:v>
                </c:pt>
                <c:pt idx="113">
                  <c:v>0.30985915492957744</c:v>
                </c:pt>
                <c:pt idx="114">
                  <c:v>0.28169014084507044</c:v>
                </c:pt>
                <c:pt idx="115">
                  <c:v>0.25821596244131456</c:v>
                </c:pt>
                <c:pt idx="116">
                  <c:v>0.30516431924882631</c:v>
                </c:pt>
                <c:pt idx="117">
                  <c:v>0.25352112676056338</c:v>
                </c:pt>
                <c:pt idx="118">
                  <c:v>0.30985915492957744</c:v>
                </c:pt>
                <c:pt idx="119">
                  <c:v>0.3364485981308411</c:v>
                </c:pt>
                <c:pt idx="120">
                  <c:v>0.27102803738317754</c:v>
                </c:pt>
                <c:pt idx="121">
                  <c:v>0.2570093457943925</c:v>
                </c:pt>
                <c:pt idx="122">
                  <c:v>0.26168224299065418</c:v>
                </c:pt>
                <c:pt idx="123">
                  <c:v>0.29439252336448596</c:v>
                </c:pt>
                <c:pt idx="124">
                  <c:v>0.32242990654205606</c:v>
                </c:pt>
                <c:pt idx="125">
                  <c:v>0.28971962616822428</c:v>
                </c:pt>
                <c:pt idx="126">
                  <c:v>0.29556650246305421</c:v>
                </c:pt>
                <c:pt idx="127">
                  <c:v>0.29556650246305421</c:v>
                </c:pt>
                <c:pt idx="128">
                  <c:v>0.29556650246305421</c:v>
                </c:pt>
                <c:pt idx="129">
                  <c:v>0.27093596059113301</c:v>
                </c:pt>
                <c:pt idx="130">
                  <c:v>0.30541871921182268</c:v>
                </c:pt>
                <c:pt idx="131">
                  <c:v>0.26108374384236455</c:v>
                </c:pt>
                <c:pt idx="132">
                  <c:v>0.26600985221674878</c:v>
                </c:pt>
                <c:pt idx="133">
                  <c:v>0.22772277227722773</c:v>
                </c:pt>
                <c:pt idx="134">
                  <c:v>0.2722772277227723</c:v>
                </c:pt>
                <c:pt idx="135">
                  <c:v>0.25247524752475248</c:v>
                </c:pt>
                <c:pt idx="136">
                  <c:v>0.28712871287128711</c:v>
                </c:pt>
                <c:pt idx="137">
                  <c:v>0.25247524752475248</c:v>
                </c:pt>
                <c:pt idx="138">
                  <c:v>0.19801980198019803</c:v>
                </c:pt>
                <c:pt idx="139">
                  <c:v>0.24752475247524752</c:v>
                </c:pt>
                <c:pt idx="140">
                  <c:v>0.20359281437125748</c:v>
                </c:pt>
                <c:pt idx="141">
                  <c:v>0.24550898203592814</c:v>
                </c:pt>
                <c:pt idx="142">
                  <c:v>0.23353293413173654</c:v>
                </c:pt>
                <c:pt idx="143">
                  <c:v>0.19161676646706588</c:v>
                </c:pt>
                <c:pt idx="144">
                  <c:v>0.19161676646706588</c:v>
                </c:pt>
                <c:pt idx="145">
                  <c:v>0.18562874251497005</c:v>
                </c:pt>
                <c:pt idx="146">
                  <c:v>0.20958083832335328</c:v>
                </c:pt>
                <c:pt idx="147">
                  <c:v>0.20382165605095542</c:v>
                </c:pt>
                <c:pt idx="148">
                  <c:v>0.1464968152866242</c:v>
                </c:pt>
                <c:pt idx="149">
                  <c:v>0.22292993630573249</c:v>
                </c:pt>
                <c:pt idx="150">
                  <c:v>0.20382165605095542</c:v>
                </c:pt>
                <c:pt idx="151">
                  <c:v>0.15923566878980891</c:v>
                </c:pt>
                <c:pt idx="152">
                  <c:v>0.12101910828025478</c:v>
                </c:pt>
                <c:pt idx="153">
                  <c:v>0.19108280254777071</c:v>
                </c:pt>
                <c:pt idx="154">
                  <c:v>0.14743589743589744</c:v>
                </c:pt>
                <c:pt idx="155">
                  <c:v>0.20512820512820512</c:v>
                </c:pt>
                <c:pt idx="156">
                  <c:v>0.22435897435897437</c:v>
                </c:pt>
                <c:pt idx="157">
                  <c:v>0.1858974358974359</c:v>
                </c:pt>
                <c:pt idx="158">
                  <c:v>0.23076923076923078</c:v>
                </c:pt>
                <c:pt idx="159">
                  <c:v>0.19230769230769232</c:v>
                </c:pt>
                <c:pt idx="160">
                  <c:v>0.16025641025641027</c:v>
                </c:pt>
                <c:pt idx="161">
                  <c:v>0.20261437908496732</c:v>
                </c:pt>
                <c:pt idx="162">
                  <c:v>0.22222222222222221</c:v>
                </c:pt>
                <c:pt idx="163">
                  <c:v>0.1437908496732026</c:v>
                </c:pt>
                <c:pt idx="164">
                  <c:v>0.16993464052287582</c:v>
                </c:pt>
                <c:pt idx="165">
                  <c:v>0.17647058823529413</c:v>
                </c:pt>
                <c:pt idx="166">
                  <c:v>0.18300653594771241</c:v>
                </c:pt>
                <c:pt idx="167">
                  <c:v>0.13071895424836602</c:v>
                </c:pt>
                <c:pt idx="168">
                  <c:v>0.22068965517241379</c:v>
                </c:pt>
                <c:pt idx="169">
                  <c:v>0.19310344827586207</c:v>
                </c:pt>
                <c:pt idx="170">
                  <c:v>0.19310344827586207</c:v>
                </c:pt>
                <c:pt idx="171">
                  <c:v>0.2</c:v>
                </c:pt>
                <c:pt idx="172">
                  <c:v>0.24827586206896551</c:v>
                </c:pt>
                <c:pt idx="173">
                  <c:v>0.16551724137931034</c:v>
                </c:pt>
                <c:pt idx="174">
                  <c:v>0.22758620689655173</c:v>
                </c:pt>
                <c:pt idx="175">
                  <c:v>0.18439716312056736</c:v>
                </c:pt>
                <c:pt idx="176">
                  <c:v>0.1702127659574468</c:v>
                </c:pt>
                <c:pt idx="177">
                  <c:v>0.22695035460992907</c:v>
                </c:pt>
                <c:pt idx="178">
                  <c:v>0.20567375886524822</c:v>
                </c:pt>
                <c:pt idx="179">
                  <c:v>0.15602836879432624</c:v>
                </c:pt>
                <c:pt idx="180">
                  <c:v>0.26241134751773049</c:v>
                </c:pt>
                <c:pt idx="181">
                  <c:v>0.1702127659574468</c:v>
                </c:pt>
                <c:pt idx="182">
                  <c:v>0.18421052631578946</c:v>
                </c:pt>
                <c:pt idx="183">
                  <c:v>0.21052631578947367</c:v>
                </c:pt>
                <c:pt idx="184">
                  <c:v>0.24210526315789474</c:v>
                </c:pt>
                <c:pt idx="185">
                  <c:v>0.18947368421052632</c:v>
                </c:pt>
                <c:pt idx="186">
                  <c:v>0.24210526315789474</c:v>
                </c:pt>
                <c:pt idx="187">
                  <c:v>0.18421052631578946</c:v>
                </c:pt>
                <c:pt idx="188">
                  <c:v>0.27894736842105261</c:v>
                </c:pt>
                <c:pt idx="189">
                  <c:v>0.22746781115879827</c:v>
                </c:pt>
                <c:pt idx="190">
                  <c:v>0.22317596566523606</c:v>
                </c:pt>
                <c:pt idx="191">
                  <c:v>0.27896995708154504</c:v>
                </c:pt>
                <c:pt idx="192">
                  <c:v>0.22317596566523606</c:v>
                </c:pt>
                <c:pt idx="193">
                  <c:v>0.26609442060085836</c:v>
                </c:pt>
                <c:pt idx="194">
                  <c:v>0.33047210300429186</c:v>
                </c:pt>
                <c:pt idx="195">
                  <c:v>0.26180257510729615</c:v>
                </c:pt>
                <c:pt idx="196">
                  <c:v>0.25735294117647056</c:v>
                </c:pt>
                <c:pt idx="197">
                  <c:v>0.24264705882352941</c:v>
                </c:pt>
                <c:pt idx="198">
                  <c:v>0.26838235294117646</c:v>
                </c:pt>
                <c:pt idx="199">
                  <c:v>0.26838235294117646</c:v>
                </c:pt>
                <c:pt idx="200">
                  <c:v>0.29411764705882354</c:v>
                </c:pt>
                <c:pt idx="201">
                  <c:v>0.27573529411764708</c:v>
                </c:pt>
                <c:pt idx="202">
                  <c:v>0.33088235294117646</c:v>
                </c:pt>
                <c:pt idx="203">
                  <c:v>0.26440677966101694</c:v>
                </c:pt>
                <c:pt idx="204">
                  <c:v>0.30508474576271188</c:v>
                </c:pt>
                <c:pt idx="205">
                  <c:v>0.29830508474576273</c:v>
                </c:pt>
                <c:pt idx="206">
                  <c:v>0.28135593220338984</c:v>
                </c:pt>
                <c:pt idx="207">
                  <c:v>0.31186440677966104</c:v>
                </c:pt>
                <c:pt idx="208">
                  <c:v>0.33559322033898303</c:v>
                </c:pt>
                <c:pt idx="209">
                  <c:v>0.31525423728813562</c:v>
                </c:pt>
                <c:pt idx="210">
                  <c:v>0.33236994219653176</c:v>
                </c:pt>
                <c:pt idx="211">
                  <c:v>0.31213872832369943</c:v>
                </c:pt>
                <c:pt idx="212">
                  <c:v>0.32369942196531792</c:v>
                </c:pt>
                <c:pt idx="213">
                  <c:v>0.24855491329479767</c:v>
                </c:pt>
                <c:pt idx="214">
                  <c:v>0.2832369942196532</c:v>
                </c:pt>
                <c:pt idx="215">
                  <c:v>0.28901734104046245</c:v>
                </c:pt>
                <c:pt idx="216">
                  <c:v>0.27456647398843931</c:v>
                </c:pt>
                <c:pt idx="217">
                  <c:v>0.28823529411764703</c:v>
                </c:pt>
                <c:pt idx="218">
                  <c:v>0.26470588235294118</c:v>
                </c:pt>
                <c:pt idx="219">
                  <c:v>0.31470588235294117</c:v>
                </c:pt>
                <c:pt idx="220">
                  <c:v>0.29705882352941176</c:v>
                </c:pt>
                <c:pt idx="221">
                  <c:v>0.30588235294117649</c:v>
                </c:pt>
                <c:pt idx="222">
                  <c:v>0.28823529411764703</c:v>
                </c:pt>
                <c:pt idx="223">
                  <c:v>0.29705882352941176</c:v>
                </c:pt>
                <c:pt idx="224">
                  <c:v>0.27089337175792505</c:v>
                </c:pt>
                <c:pt idx="225">
                  <c:v>0.31123919308357351</c:v>
                </c:pt>
                <c:pt idx="226">
                  <c:v>0.29682997118155618</c:v>
                </c:pt>
                <c:pt idx="227">
                  <c:v>0.2737752161383285</c:v>
                </c:pt>
                <c:pt idx="228">
                  <c:v>0.30835734870317005</c:v>
                </c:pt>
                <c:pt idx="229">
                  <c:v>0.33429394812680113</c:v>
                </c:pt>
                <c:pt idx="230">
                  <c:v>0.31412103746397696</c:v>
                </c:pt>
                <c:pt idx="231">
                  <c:v>0.21875</c:v>
                </c:pt>
                <c:pt idx="232">
                  <c:v>0.25520833333333331</c:v>
                </c:pt>
                <c:pt idx="233">
                  <c:v>0.29947916666666669</c:v>
                </c:pt>
                <c:pt idx="234">
                  <c:v>0.24739583333333334</c:v>
                </c:pt>
                <c:pt idx="235">
                  <c:v>0.27604166666666669</c:v>
                </c:pt>
                <c:pt idx="236">
                  <c:v>0.30729166666666669</c:v>
                </c:pt>
                <c:pt idx="237">
                  <c:v>0.33072916666666669</c:v>
                </c:pt>
                <c:pt idx="238">
                  <c:v>0.1702127659574468</c:v>
                </c:pt>
                <c:pt idx="239">
                  <c:v>0.2144026186579378</c:v>
                </c:pt>
                <c:pt idx="240">
                  <c:v>0.21276595744680851</c:v>
                </c:pt>
                <c:pt idx="241">
                  <c:v>0.22585924713584288</c:v>
                </c:pt>
                <c:pt idx="242">
                  <c:v>0.27332242225859249</c:v>
                </c:pt>
                <c:pt idx="243">
                  <c:v>0.27823240589198034</c:v>
                </c:pt>
                <c:pt idx="244">
                  <c:v>0.27004909983633391</c:v>
                </c:pt>
                <c:pt idx="245">
                  <c:v>0.20926966292134833</c:v>
                </c:pt>
                <c:pt idx="246">
                  <c:v>0.21207865168539325</c:v>
                </c:pt>
                <c:pt idx="247">
                  <c:v>0.24297752808988765</c:v>
                </c:pt>
                <c:pt idx="248">
                  <c:v>0.21067415730337077</c:v>
                </c:pt>
                <c:pt idx="249">
                  <c:v>0.22752808988764045</c:v>
                </c:pt>
                <c:pt idx="250">
                  <c:v>0.24578651685393257</c:v>
                </c:pt>
                <c:pt idx="251">
                  <c:v>0.24719101123595505</c:v>
                </c:pt>
                <c:pt idx="252">
                  <c:v>0.23316062176165803</c:v>
                </c:pt>
                <c:pt idx="253">
                  <c:v>0.21761658031088082</c:v>
                </c:pt>
                <c:pt idx="254">
                  <c:v>0.23963730569948186</c:v>
                </c:pt>
                <c:pt idx="255">
                  <c:v>0.2344559585492228</c:v>
                </c:pt>
                <c:pt idx="256">
                  <c:v>0.22279792746113988</c:v>
                </c:pt>
                <c:pt idx="257">
                  <c:v>0.2422279792746114</c:v>
                </c:pt>
                <c:pt idx="258">
                  <c:v>0.28238341968911918</c:v>
                </c:pt>
                <c:pt idx="259">
                  <c:v>0.28048780487804881</c:v>
                </c:pt>
                <c:pt idx="260">
                  <c:v>0.29573170731707316</c:v>
                </c:pt>
                <c:pt idx="261">
                  <c:v>0.19969512195121952</c:v>
                </c:pt>
                <c:pt idx="262">
                  <c:v>0.26829268292682928</c:v>
                </c:pt>
                <c:pt idx="263">
                  <c:v>0.2073170731707317</c:v>
                </c:pt>
                <c:pt idx="264">
                  <c:v>0.23323170731707318</c:v>
                </c:pt>
                <c:pt idx="265">
                  <c:v>0.2423780487804878</c:v>
                </c:pt>
                <c:pt idx="266">
                  <c:v>0.21633888048411498</c:v>
                </c:pt>
                <c:pt idx="267">
                  <c:v>0.23600605143721634</c:v>
                </c:pt>
                <c:pt idx="268">
                  <c:v>0.22844175491679275</c:v>
                </c:pt>
                <c:pt idx="269">
                  <c:v>0.22390317700453857</c:v>
                </c:pt>
                <c:pt idx="270">
                  <c:v>0.2783661119515885</c:v>
                </c:pt>
                <c:pt idx="271">
                  <c:v>0.30862329803328292</c:v>
                </c:pt>
                <c:pt idx="272">
                  <c:v>0.32526475037821484</c:v>
                </c:pt>
                <c:pt idx="273">
                  <c:v>0.2832618025751073</c:v>
                </c:pt>
                <c:pt idx="274">
                  <c:v>0.28469241773962806</c:v>
                </c:pt>
                <c:pt idx="275">
                  <c:v>0.26895565092989987</c:v>
                </c:pt>
                <c:pt idx="276">
                  <c:v>0.28183118741058655</c:v>
                </c:pt>
                <c:pt idx="277">
                  <c:v>0.27467811158798283</c:v>
                </c:pt>
                <c:pt idx="278">
                  <c:v>0.28612303290414881</c:v>
                </c:pt>
                <c:pt idx="279">
                  <c:v>0.27467811158798283</c:v>
                </c:pt>
                <c:pt idx="280">
                  <c:v>0.28013029315960913</c:v>
                </c:pt>
                <c:pt idx="281">
                  <c:v>0.26058631921824105</c:v>
                </c:pt>
                <c:pt idx="282">
                  <c:v>0.2736156351791531</c:v>
                </c:pt>
                <c:pt idx="283">
                  <c:v>0.27850162866449513</c:v>
                </c:pt>
                <c:pt idx="284">
                  <c:v>0.250814332247557</c:v>
                </c:pt>
                <c:pt idx="285">
                  <c:v>0.23778501628664495</c:v>
                </c:pt>
                <c:pt idx="286">
                  <c:v>0.27035830618892509</c:v>
                </c:pt>
                <c:pt idx="287">
                  <c:v>0.24587155963302754</c:v>
                </c:pt>
                <c:pt idx="288">
                  <c:v>0.27339449541284405</c:v>
                </c:pt>
                <c:pt idx="289">
                  <c:v>0.24220183486238533</c:v>
                </c:pt>
                <c:pt idx="290">
                  <c:v>0.24036697247706423</c:v>
                </c:pt>
                <c:pt idx="291">
                  <c:v>0.19082568807339451</c:v>
                </c:pt>
                <c:pt idx="292">
                  <c:v>0.19266055045871561</c:v>
                </c:pt>
                <c:pt idx="293">
                  <c:v>0.19266055045871561</c:v>
                </c:pt>
                <c:pt idx="294">
                  <c:v>0.2132701421800948</c:v>
                </c:pt>
                <c:pt idx="295">
                  <c:v>0.23933649289099526</c:v>
                </c:pt>
                <c:pt idx="296">
                  <c:v>0.21800947867298578</c:v>
                </c:pt>
                <c:pt idx="297">
                  <c:v>0.16113744075829384</c:v>
                </c:pt>
                <c:pt idx="298">
                  <c:v>0.17772511848341233</c:v>
                </c:pt>
                <c:pt idx="299">
                  <c:v>0.17298578199052134</c:v>
                </c:pt>
                <c:pt idx="300">
                  <c:v>0.16824644549763032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B6-46B2-845D-39623994E4DD}"/>
            </c:ext>
          </c:extLst>
        </c:ser>
        <c:ser>
          <c:idx val="1"/>
          <c:order val="1"/>
          <c:tx>
            <c:strRef>
              <c:f>DAU!$H$1</c:f>
              <c:strCache>
                <c:ptCount val="1"/>
                <c:pt idx="0">
                  <c:v>SFM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DAU!$C$4:$C$304</c:f>
              <c:numCache>
                <c:formatCode>dd/mm/yy;@</c:formatCode>
                <c:ptCount val="301"/>
                <c:pt idx="0">
                  <c:v>44746</c:v>
                </c:pt>
                <c:pt idx="1">
                  <c:v>44747</c:v>
                </c:pt>
                <c:pt idx="2">
                  <c:v>44748</c:v>
                </c:pt>
                <c:pt idx="3">
                  <c:v>44749</c:v>
                </c:pt>
                <c:pt idx="4">
                  <c:v>44750</c:v>
                </c:pt>
                <c:pt idx="5">
                  <c:v>44751</c:v>
                </c:pt>
                <c:pt idx="6">
                  <c:v>44752</c:v>
                </c:pt>
                <c:pt idx="7">
                  <c:v>44753</c:v>
                </c:pt>
                <c:pt idx="8">
                  <c:v>44754</c:v>
                </c:pt>
                <c:pt idx="9">
                  <c:v>44755</c:v>
                </c:pt>
                <c:pt idx="10">
                  <c:v>44756</c:v>
                </c:pt>
                <c:pt idx="11">
                  <c:v>44757</c:v>
                </c:pt>
                <c:pt idx="12">
                  <c:v>44758</c:v>
                </c:pt>
                <c:pt idx="13">
                  <c:v>44759</c:v>
                </c:pt>
                <c:pt idx="14">
                  <c:v>44760</c:v>
                </c:pt>
                <c:pt idx="15">
                  <c:v>44761</c:v>
                </c:pt>
                <c:pt idx="16">
                  <c:v>44762</c:v>
                </c:pt>
                <c:pt idx="17">
                  <c:v>44763</c:v>
                </c:pt>
                <c:pt idx="18">
                  <c:v>44764</c:v>
                </c:pt>
                <c:pt idx="19">
                  <c:v>44765</c:v>
                </c:pt>
                <c:pt idx="20">
                  <c:v>44766</c:v>
                </c:pt>
                <c:pt idx="21">
                  <c:v>44767</c:v>
                </c:pt>
                <c:pt idx="22">
                  <c:v>44768</c:v>
                </c:pt>
                <c:pt idx="23">
                  <c:v>44769</c:v>
                </c:pt>
                <c:pt idx="24">
                  <c:v>44770</c:v>
                </c:pt>
                <c:pt idx="25">
                  <c:v>44771</c:v>
                </c:pt>
                <c:pt idx="26">
                  <c:v>44772</c:v>
                </c:pt>
                <c:pt idx="27">
                  <c:v>44773</c:v>
                </c:pt>
                <c:pt idx="28">
                  <c:v>44774</c:v>
                </c:pt>
                <c:pt idx="29">
                  <c:v>44775</c:v>
                </c:pt>
                <c:pt idx="30">
                  <c:v>44776</c:v>
                </c:pt>
                <c:pt idx="31">
                  <c:v>44777</c:v>
                </c:pt>
                <c:pt idx="32">
                  <c:v>44778</c:v>
                </c:pt>
                <c:pt idx="33">
                  <c:v>44779</c:v>
                </c:pt>
                <c:pt idx="34">
                  <c:v>44780</c:v>
                </c:pt>
                <c:pt idx="35">
                  <c:v>44781</c:v>
                </c:pt>
                <c:pt idx="36">
                  <c:v>44782</c:v>
                </c:pt>
                <c:pt idx="37">
                  <c:v>44783</c:v>
                </c:pt>
                <c:pt idx="38">
                  <c:v>44784</c:v>
                </c:pt>
                <c:pt idx="39">
                  <c:v>44785</c:v>
                </c:pt>
                <c:pt idx="40">
                  <c:v>44786</c:v>
                </c:pt>
                <c:pt idx="41">
                  <c:v>44787</c:v>
                </c:pt>
                <c:pt idx="42">
                  <c:v>44788</c:v>
                </c:pt>
                <c:pt idx="43">
                  <c:v>44789</c:v>
                </c:pt>
                <c:pt idx="44">
                  <c:v>44790</c:v>
                </c:pt>
                <c:pt idx="45">
                  <c:v>44791</c:v>
                </c:pt>
                <c:pt idx="46">
                  <c:v>44792</c:v>
                </c:pt>
                <c:pt idx="47">
                  <c:v>44793</c:v>
                </c:pt>
                <c:pt idx="48">
                  <c:v>44794</c:v>
                </c:pt>
                <c:pt idx="49">
                  <c:v>44795</c:v>
                </c:pt>
                <c:pt idx="50">
                  <c:v>44796</c:v>
                </c:pt>
                <c:pt idx="51">
                  <c:v>44797</c:v>
                </c:pt>
                <c:pt idx="52">
                  <c:v>44798</c:v>
                </c:pt>
                <c:pt idx="53">
                  <c:v>44799</c:v>
                </c:pt>
                <c:pt idx="54">
                  <c:v>44800</c:v>
                </c:pt>
                <c:pt idx="55">
                  <c:v>44801</c:v>
                </c:pt>
                <c:pt idx="56">
                  <c:v>44802</c:v>
                </c:pt>
                <c:pt idx="57">
                  <c:v>44803</c:v>
                </c:pt>
                <c:pt idx="58">
                  <c:v>44804</c:v>
                </c:pt>
                <c:pt idx="59">
                  <c:v>44805</c:v>
                </c:pt>
                <c:pt idx="60">
                  <c:v>44806</c:v>
                </c:pt>
                <c:pt idx="61">
                  <c:v>44807</c:v>
                </c:pt>
                <c:pt idx="62">
                  <c:v>44808</c:v>
                </c:pt>
                <c:pt idx="63">
                  <c:v>44809</c:v>
                </c:pt>
                <c:pt idx="64">
                  <c:v>44810</c:v>
                </c:pt>
                <c:pt idx="65">
                  <c:v>44811</c:v>
                </c:pt>
                <c:pt idx="66">
                  <c:v>44812</c:v>
                </c:pt>
                <c:pt idx="67">
                  <c:v>44813</c:v>
                </c:pt>
                <c:pt idx="68">
                  <c:v>44814</c:v>
                </c:pt>
                <c:pt idx="69">
                  <c:v>44815</c:v>
                </c:pt>
                <c:pt idx="70">
                  <c:v>44816</c:v>
                </c:pt>
                <c:pt idx="71">
                  <c:v>44817</c:v>
                </c:pt>
                <c:pt idx="72">
                  <c:v>44818</c:v>
                </c:pt>
                <c:pt idx="73">
                  <c:v>44819</c:v>
                </c:pt>
                <c:pt idx="74">
                  <c:v>44820</c:v>
                </c:pt>
                <c:pt idx="75">
                  <c:v>44821</c:v>
                </c:pt>
                <c:pt idx="76">
                  <c:v>44822</c:v>
                </c:pt>
                <c:pt idx="77">
                  <c:v>44823</c:v>
                </c:pt>
                <c:pt idx="78">
                  <c:v>44824</c:v>
                </c:pt>
                <c:pt idx="79">
                  <c:v>44825</c:v>
                </c:pt>
                <c:pt idx="80">
                  <c:v>44826</c:v>
                </c:pt>
                <c:pt idx="81">
                  <c:v>44827</c:v>
                </c:pt>
                <c:pt idx="82">
                  <c:v>44828</c:v>
                </c:pt>
                <c:pt idx="83">
                  <c:v>44829</c:v>
                </c:pt>
                <c:pt idx="84">
                  <c:v>44830</c:v>
                </c:pt>
                <c:pt idx="85">
                  <c:v>44831</c:v>
                </c:pt>
                <c:pt idx="86">
                  <c:v>44832</c:v>
                </c:pt>
                <c:pt idx="87">
                  <c:v>44833</c:v>
                </c:pt>
                <c:pt idx="88">
                  <c:v>44834</c:v>
                </c:pt>
                <c:pt idx="89">
                  <c:v>44835</c:v>
                </c:pt>
                <c:pt idx="90">
                  <c:v>44836</c:v>
                </c:pt>
                <c:pt idx="91">
                  <c:v>44837</c:v>
                </c:pt>
                <c:pt idx="92">
                  <c:v>44838</c:v>
                </c:pt>
                <c:pt idx="93">
                  <c:v>44839</c:v>
                </c:pt>
                <c:pt idx="94">
                  <c:v>44840</c:v>
                </c:pt>
                <c:pt idx="95">
                  <c:v>44841</c:v>
                </c:pt>
                <c:pt idx="96">
                  <c:v>44842</c:v>
                </c:pt>
                <c:pt idx="97">
                  <c:v>44843</c:v>
                </c:pt>
                <c:pt idx="98">
                  <c:v>44844</c:v>
                </c:pt>
                <c:pt idx="99">
                  <c:v>44845</c:v>
                </c:pt>
                <c:pt idx="100">
                  <c:v>44846</c:v>
                </c:pt>
                <c:pt idx="101">
                  <c:v>44847</c:v>
                </c:pt>
                <c:pt idx="102">
                  <c:v>44848</c:v>
                </c:pt>
                <c:pt idx="103">
                  <c:v>44849</c:v>
                </c:pt>
                <c:pt idx="104">
                  <c:v>44850</c:v>
                </c:pt>
                <c:pt idx="105">
                  <c:v>44851</c:v>
                </c:pt>
                <c:pt idx="106">
                  <c:v>44852</c:v>
                </c:pt>
                <c:pt idx="107">
                  <c:v>44853</c:v>
                </c:pt>
                <c:pt idx="108">
                  <c:v>44854</c:v>
                </c:pt>
                <c:pt idx="109">
                  <c:v>44855</c:v>
                </c:pt>
                <c:pt idx="110">
                  <c:v>44856</c:v>
                </c:pt>
                <c:pt idx="111">
                  <c:v>44857</c:v>
                </c:pt>
                <c:pt idx="112">
                  <c:v>44858</c:v>
                </c:pt>
                <c:pt idx="113">
                  <c:v>44859</c:v>
                </c:pt>
                <c:pt idx="114">
                  <c:v>44860</c:v>
                </c:pt>
                <c:pt idx="115">
                  <c:v>44861</c:v>
                </c:pt>
                <c:pt idx="116">
                  <c:v>44862</c:v>
                </c:pt>
                <c:pt idx="117">
                  <c:v>44863</c:v>
                </c:pt>
                <c:pt idx="118">
                  <c:v>44864</c:v>
                </c:pt>
                <c:pt idx="119">
                  <c:v>44865</c:v>
                </c:pt>
                <c:pt idx="120">
                  <c:v>44866</c:v>
                </c:pt>
                <c:pt idx="121">
                  <c:v>44867</c:v>
                </c:pt>
                <c:pt idx="122">
                  <c:v>44868</c:v>
                </c:pt>
                <c:pt idx="123">
                  <c:v>44869</c:v>
                </c:pt>
                <c:pt idx="124">
                  <c:v>44870</c:v>
                </c:pt>
                <c:pt idx="125">
                  <c:v>44871</c:v>
                </c:pt>
                <c:pt idx="126">
                  <c:v>44872</c:v>
                </c:pt>
                <c:pt idx="127">
                  <c:v>44873</c:v>
                </c:pt>
                <c:pt idx="128">
                  <c:v>44874</c:v>
                </c:pt>
                <c:pt idx="129">
                  <c:v>44875</c:v>
                </c:pt>
                <c:pt idx="130">
                  <c:v>44876</c:v>
                </c:pt>
                <c:pt idx="131">
                  <c:v>44877</c:v>
                </c:pt>
                <c:pt idx="132">
                  <c:v>44878</c:v>
                </c:pt>
                <c:pt idx="133">
                  <c:v>44879</c:v>
                </c:pt>
                <c:pt idx="134">
                  <c:v>44880</c:v>
                </c:pt>
                <c:pt idx="135">
                  <c:v>44881</c:v>
                </c:pt>
                <c:pt idx="136">
                  <c:v>44882</c:v>
                </c:pt>
                <c:pt idx="137">
                  <c:v>44883</c:v>
                </c:pt>
                <c:pt idx="138">
                  <c:v>44884</c:v>
                </c:pt>
                <c:pt idx="139">
                  <c:v>44885</c:v>
                </c:pt>
                <c:pt idx="140">
                  <c:v>44886</c:v>
                </c:pt>
                <c:pt idx="141">
                  <c:v>44887</c:v>
                </c:pt>
                <c:pt idx="142">
                  <c:v>44888</c:v>
                </c:pt>
                <c:pt idx="143">
                  <c:v>44889</c:v>
                </c:pt>
                <c:pt idx="144">
                  <c:v>44890</c:v>
                </c:pt>
                <c:pt idx="145">
                  <c:v>44891</c:v>
                </c:pt>
                <c:pt idx="146">
                  <c:v>44892</c:v>
                </c:pt>
                <c:pt idx="147">
                  <c:v>44893</c:v>
                </c:pt>
                <c:pt idx="148">
                  <c:v>44894</c:v>
                </c:pt>
                <c:pt idx="149">
                  <c:v>44895</c:v>
                </c:pt>
                <c:pt idx="150">
                  <c:v>44896</c:v>
                </c:pt>
                <c:pt idx="151">
                  <c:v>44897</c:v>
                </c:pt>
                <c:pt idx="152">
                  <c:v>44898</c:v>
                </c:pt>
                <c:pt idx="153">
                  <c:v>44899</c:v>
                </c:pt>
                <c:pt idx="154">
                  <c:v>44900</c:v>
                </c:pt>
                <c:pt idx="155">
                  <c:v>44901</c:v>
                </c:pt>
                <c:pt idx="156">
                  <c:v>44902</c:v>
                </c:pt>
                <c:pt idx="157">
                  <c:v>44903</c:v>
                </c:pt>
                <c:pt idx="158">
                  <c:v>44904</c:v>
                </c:pt>
                <c:pt idx="159">
                  <c:v>44905</c:v>
                </c:pt>
                <c:pt idx="160">
                  <c:v>44906</c:v>
                </c:pt>
                <c:pt idx="161">
                  <c:v>44907</c:v>
                </c:pt>
                <c:pt idx="162">
                  <c:v>44908</c:v>
                </c:pt>
                <c:pt idx="163">
                  <c:v>44909</c:v>
                </c:pt>
                <c:pt idx="164">
                  <c:v>44910</c:v>
                </c:pt>
                <c:pt idx="165">
                  <c:v>44911</c:v>
                </c:pt>
                <c:pt idx="166">
                  <c:v>44912</c:v>
                </c:pt>
                <c:pt idx="167">
                  <c:v>44913</c:v>
                </c:pt>
                <c:pt idx="168">
                  <c:v>44914</c:v>
                </c:pt>
                <c:pt idx="169">
                  <c:v>44915</c:v>
                </c:pt>
                <c:pt idx="170">
                  <c:v>44916</c:v>
                </c:pt>
                <c:pt idx="171">
                  <c:v>44917</c:v>
                </c:pt>
                <c:pt idx="172">
                  <c:v>44918</c:v>
                </c:pt>
                <c:pt idx="173">
                  <c:v>44919</c:v>
                </c:pt>
                <c:pt idx="174">
                  <c:v>44920</c:v>
                </c:pt>
                <c:pt idx="175">
                  <c:v>44921</c:v>
                </c:pt>
                <c:pt idx="176">
                  <c:v>44922</c:v>
                </c:pt>
                <c:pt idx="177">
                  <c:v>44923</c:v>
                </c:pt>
                <c:pt idx="178">
                  <c:v>44924</c:v>
                </c:pt>
                <c:pt idx="179">
                  <c:v>44925</c:v>
                </c:pt>
                <c:pt idx="180">
                  <c:v>44926</c:v>
                </c:pt>
                <c:pt idx="181">
                  <c:v>44927</c:v>
                </c:pt>
                <c:pt idx="182">
                  <c:v>44928</c:v>
                </c:pt>
                <c:pt idx="183">
                  <c:v>44929</c:v>
                </c:pt>
                <c:pt idx="184">
                  <c:v>44930</c:v>
                </c:pt>
                <c:pt idx="185">
                  <c:v>44931</c:v>
                </c:pt>
                <c:pt idx="186">
                  <c:v>44932</c:v>
                </c:pt>
                <c:pt idx="187">
                  <c:v>44933</c:v>
                </c:pt>
                <c:pt idx="188">
                  <c:v>44934</c:v>
                </c:pt>
                <c:pt idx="189">
                  <c:v>44935</c:v>
                </c:pt>
                <c:pt idx="190">
                  <c:v>44936</c:v>
                </c:pt>
                <c:pt idx="191">
                  <c:v>44937</c:v>
                </c:pt>
                <c:pt idx="192">
                  <c:v>44938</c:v>
                </c:pt>
                <c:pt idx="193">
                  <c:v>44939</c:v>
                </c:pt>
                <c:pt idx="194">
                  <c:v>44940</c:v>
                </c:pt>
                <c:pt idx="195">
                  <c:v>44941</c:v>
                </c:pt>
                <c:pt idx="196">
                  <c:v>44942</c:v>
                </c:pt>
                <c:pt idx="197">
                  <c:v>44943</c:v>
                </c:pt>
                <c:pt idx="198">
                  <c:v>44944</c:v>
                </c:pt>
                <c:pt idx="199">
                  <c:v>44945</c:v>
                </c:pt>
                <c:pt idx="200">
                  <c:v>44946</c:v>
                </c:pt>
                <c:pt idx="201">
                  <c:v>44947</c:v>
                </c:pt>
                <c:pt idx="202">
                  <c:v>44948</c:v>
                </c:pt>
                <c:pt idx="203">
                  <c:v>44949</c:v>
                </c:pt>
                <c:pt idx="204">
                  <c:v>44950</c:v>
                </c:pt>
                <c:pt idx="205">
                  <c:v>44951</c:v>
                </c:pt>
                <c:pt idx="206">
                  <c:v>44952</c:v>
                </c:pt>
                <c:pt idx="207">
                  <c:v>44953</c:v>
                </c:pt>
                <c:pt idx="208">
                  <c:v>44954</c:v>
                </c:pt>
                <c:pt idx="209">
                  <c:v>44955</c:v>
                </c:pt>
                <c:pt idx="210">
                  <c:v>44956</c:v>
                </c:pt>
                <c:pt idx="211">
                  <c:v>44957</c:v>
                </c:pt>
                <c:pt idx="212">
                  <c:v>44958</c:v>
                </c:pt>
                <c:pt idx="213">
                  <c:v>44959</c:v>
                </c:pt>
                <c:pt idx="214">
                  <c:v>44960</c:v>
                </c:pt>
                <c:pt idx="215">
                  <c:v>44961</c:v>
                </c:pt>
                <c:pt idx="216">
                  <c:v>44962</c:v>
                </c:pt>
                <c:pt idx="217">
                  <c:v>44963</c:v>
                </c:pt>
                <c:pt idx="218">
                  <c:v>44964</c:v>
                </c:pt>
                <c:pt idx="219">
                  <c:v>44965</c:v>
                </c:pt>
                <c:pt idx="220">
                  <c:v>44966</c:v>
                </c:pt>
                <c:pt idx="221">
                  <c:v>44967</c:v>
                </c:pt>
                <c:pt idx="222">
                  <c:v>44968</c:v>
                </c:pt>
                <c:pt idx="223">
                  <c:v>44969</c:v>
                </c:pt>
                <c:pt idx="224">
                  <c:v>44970</c:v>
                </c:pt>
                <c:pt idx="225">
                  <c:v>44971</c:v>
                </c:pt>
                <c:pt idx="226">
                  <c:v>44972</c:v>
                </c:pt>
                <c:pt idx="227">
                  <c:v>44973</c:v>
                </c:pt>
                <c:pt idx="228">
                  <c:v>44974</c:v>
                </c:pt>
                <c:pt idx="229">
                  <c:v>44975</c:v>
                </c:pt>
                <c:pt idx="230">
                  <c:v>44976</c:v>
                </c:pt>
                <c:pt idx="231">
                  <c:v>44977</c:v>
                </c:pt>
                <c:pt idx="232">
                  <c:v>44978</c:v>
                </c:pt>
                <c:pt idx="233">
                  <c:v>44979</c:v>
                </c:pt>
                <c:pt idx="234">
                  <c:v>44980</c:v>
                </c:pt>
                <c:pt idx="235">
                  <c:v>44981</c:v>
                </c:pt>
                <c:pt idx="236">
                  <c:v>44982</c:v>
                </c:pt>
                <c:pt idx="237">
                  <c:v>44983</c:v>
                </c:pt>
                <c:pt idx="238">
                  <c:v>44984</c:v>
                </c:pt>
                <c:pt idx="239">
                  <c:v>44985</c:v>
                </c:pt>
                <c:pt idx="240">
                  <c:v>44986</c:v>
                </c:pt>
                <c:pt idx="241">
                  <c:v>44987</c:v>
                </c:pt>
                <c:pt idx="242">
                  <c:v>44988</c:v>
                </c:pt>
                <c:pt idx="243">
                  <c:v>44989</c:v>
                </c:pt>
                <c:pt idx="244">
                  <c:v>44990</c:v>
                </c:pt>
                <c:pt idx="245">
                  <c:v>44991</c:v>
                </c:pt>
                <c:pt idx="246">
                  <c:v>44992</c:v>
                </c:pt>
                <c:pt idx="247">
                  <c:v>44993</c:v>
                </c:pt>
                <c:pt idx="248">
                  <c:v>44994</c:v>
                </c:pt>
                <c:pt idx="249">
                  <c:v>44995</c:v>
                </c:pt>
                <c:pt idx="250">
                  <c:v>44996</c:v>
                </c:pt>
                <c:pt idx="251">
                  <c:v>44997</c:v>
                </c:pt>
                <c:pt idx="252">
                  <c:v>44998</c:v>
                </c:pt>
                <c:pt idx="253">
                  <c:v>44999</c:v>
                </c:pt>
                <c:pt idx="254">
                  <c:v>45000</c:v>
                </c:pt>
                <c:pt idx="255">
                  <c:v>45001</c:v>
                </c:pt>
                <c:pt idx="256">
                  <c:v>45002</c:v>
                </c:pt>
                <c:pt idx="257">
                  <c:v>45003</c:v>
                </c:pt>
                <c:pt idx="258">
                  <c:v>45004</c:v>
                </c:pt>
                <c:pt idx="259">
                  <c:v>45005</c:v>
                </c:pt>
                <c:pt idx="260">
                  <c:v>45006</c:v>
                </c:pt>
                <c:pt idx="261">
                  <c:v>45007</c:v>
                </c:pt>
                <c:pt idx="262">
                  <c:v>45008</c:v>
                </c:pt>
                <c:pt idx="263">
                  <c:v>45009</c:v>
                </c:pt>
                <c:pt idx="264">
                  <c:v>45010</c:v>
                </c:pt>
                <c:pt idx="265">
                  <c:v>45011</c:v>
                </c:pt>
                <c:pt idx="266">
                  <c:v>45012</c:v>
                </c:pt>
                <c:pt idx="267">
                  <c:v>45013</c:v>
                </c:pt>
                <c:pt idx="268">
                  <c:v>45014</c:v>
                </c:pt>
                <c:pt idx="269">
                  <c:v>45015</c:v>
                </c:pt>
                <c:pt idx="270">
                  <c:v>45016</c:v>
                </c:pt>
                <c:pt idx="271">
                  <c:v>45017</c:v>
                </c:pt>
                <c:pt idx="272">
                  <c:v>45018</c:v>
                </c:pt>
                <c:pt idx="273">
                  <c:v>45019</c:v>
                </c:pt>
                <c:pt idx="274">
                  <c:v>45020</c:v>
                </c:pt>
                <c:pt idx="275">
                  <c:v>45021</c:v>
                </c:pt>
                <c:pt idx="276">
                  <c:v>45022</c:v>
                </c:pt>
                <c:pt idx="277">
                  <c:v>45023</c:v>
                </c:pt>
                <c:pt idx="278">
                  <c:v>45024</c:v>
                </c:pt>
                <c:pt idx="279">
                  <c:v>45025</c:v>
                </c:pt>
                <c:pt idx="280">
                  <c:v>45026</c:v>
                </c:pt>
                <c:pt idx="281">
                  <c:v>45027</c:v>
                </c:pt>
                <c:pt idx="282">
                  <c:v>45028</c:v>
                </c:pt>
                <c:pt idx="283">
                  <c:v>45029</c:v>
                </c:pt>
                <c:pt idx="284">
                  <c:v>45030</c:v>
                </c:pt>
                <c:pt idx="285">
                  <c:v>45031</c:v>
                </c:pt>
                <c:pt idx="286">
                  <c:v>45032</c:v>
                </c:pt>
                <c:pt idx="287">
                  <c:v>45033</c:v>
                </c:pt>
                <c:pt idx="288">
                  <c:v>45034</c:v>
                </c:pt>
                <c:pt idx="289">
                  <c:v>45035</c:v>
                </c:pt>
                <c:pt idx="290">
                  <c:v>45036</c:v>
                </c:pt>
                <c:pt idx="291">
                  <c:v>45037</c:v>
                </c:pt>
                <c:pt idx="292">
                  <c:v>45038</c:v>
                </c:pt>
                <c:pt idx="293">
                  <c:v>45039</c:v>
                </c:pt>
                <c:pt idx="294">
                  <c:v>45040</c:v>
                </c:pt>
                <c:pt idx="295">
                  <c:v>45041</c:v>
                </c:pt>
                <c:pt idx="296">
                  <c:v>45042</c:v>
                </c:pt>
                <c:pt idx="297">
                  <c:v>45043</c:v>
                </c:pt>
                <c:pt idx="298">
                  <c:v>45044</c:v>
                </c:pt>
                <c:pt idx="299">
                  <c:v>45045</c:v>
                </c:pt>
                <c:pt idx="300">
                  <c:v>45046</c:v>
                </c:pt>
              </c:numCache>
            </c:numRef>
          </c:cat>
          <c:val>
            <c:numRef>
              <c:f>DAU!$H$4:$H$304</c:f>
              <c:numCache>
                <c:formatCode>0.000</c:formatCode>
                <c:ptCount val="301"/>
                <c:pt idx="0">
                  <c:v>2.5906735751295335E-2</c:v>
                </c:pt>
                <c:pt idx="1">
                  <c:v>5.181347150259067E-2</c:v>
                </c:pt>
                <c:pt idx="2">
                  <c:v>2.5906735751295335E-2</c:v>
                </c:pt>
                <c:pt idx="3">
                  <c:v>6.7357512953367879E-2</c:v>
                </c:pt>
                <c:pt idx="4">
                  <c:v>0.11398963730569948</c:v>
                </c:pt>
                <c:pt idx="5">
                  <c:v>0.11398963730569948</c:v>
                </c:pt>
                <c:pt idx="6">
                  <c:v>0.13471502590673576</c:v>
                </c:pt>
                <c:pt idx="7">
                  <c:v>0.11917098445595854</c:v>
                </c:pt>
                <c:pt idx="8">
                  <c:v>0.12435233160621761</c:v>
                </c:pt>
                <c:pt idx="9">
                  <c:v>0.15544041450777202</c:v>
                </c:pt>
                <c:pt idx="10">
                  <c:v>0.16580310880829016</c:v>
                </c:pt>
                <c:pt idx="11">
                  <c:v>0.12953367875647667</c:v>
                </c:pt>
                <c:pt idx="12">
                  <c:v>0.17616580310880828</c:v>
                </c:pt>
                <c:pt idx="13">
                  <c:v>0.20207253886010362</c:v>
                </c:pt>
                <c:pt idx="14">
                  <c:v>0.11398963730569948</c:v>
                </c:pt>
                <c:pt idx="15">
                  <c:v>0.19689119170984457</c:v>
                </c:pt>
                <c:pt idx="16">
                  <c:v>0.17616580310880828</c:v>
                </c:pt>
                <c:pt idx="17">
                  <c:v>0.25906735751295334</c:v>
                </c:pt>
                <c:pt idx="18">
                  <c:v>0.22279792746113988</c:v>
                </c:pt>
                <c:pt idx="19">
                  <c:v>0.22279792746113988</c:v>
                </c:pt>
                <c:pt idx="20">
                  <c:v>0.27461139896373055</c:v>
                </c:pt>
                <c:pt idx="21">
                  <c:v>0.32642487046632124</c:v>
                </c:pt>
                <c:pt idx="22">
                  <c:v>0.24870466321243523</c:v>
                </c:pt>
                <c:pt idx="23">
                  <c:v>0.30569948186528495</c:v>
                </c:pt>
                <c:pt idx="24">
                  <c:v>0.30569948186528495</c:v>
                </c:pt>
                <c:pt idx="25">
                  <c:v>0.31606217616580312</c:v>
                </c:pt>
                <c:pt idx="26">
                  <c:v>0.33160621761658032</c:v>
                </c:pt>
                <c:pt idx="27">
                  <c:v>0.33160621761658032</c:v>
                </c:pt>
                <c:pt idx="28">
                  <c:v>0.14207650273224043</c:v>
                </c:pt>
                <c:pt idx="29">
                  <c:v>0.16939890710382513</c:v>
                </c:pt>
                <c:pt idx="30">
                  <c:v>0.15027322404371585</c:v>
                </c:pt>
                <c:pt idx="31">
                  <c:v>0.16393442622950818</c:v>
                </c:pt>
                <c:pt idx="32">
                  <c:v>0.14207650273224043</c:v>
                </c:pt>
                <c:pt idx="33">
                  <c:v>0.16939890710382513</c:v>
                </c:pt>
                <c:pt idx="34">
                  <c:v>0.16120218579234974</c:v>
                </c:pt>
                <c:pt idx="35">
                  <c:v>0.15846994535519127</c:v>
                </c:pt>
                <c:pt idx="36">
                  <c:v>0.1448087431693989</c:v>
                </c:pt>
                <c:pt idx="37">
                  <c:v>0.15027322404371585</c:v>
                </c:pt>
                <c:pt idx="38">
                  <c:v>0.17759562841530055</c:v>
                </c:pt>
                <c:pt idx="39">
                  <c:v>0.14754098360655737</c:v>
                </c:pt>
                <c:pt idx="40">
                  <c:v>0.20218579234972678</c:v>
                </c:pt>
                <c:pt idx="41">
                  <c:v>0.16120218579234974</c:v>
                </c:pt>
                <c:pt idx="42">
                  <c:v>0.14754098360655737</c:v>
                </c:pt>
                <c:pt idx="43">
                  <c:v>0.18579234972677597</c:v>
                </c:pt>
                <c:pt idx="44">
                  <c:v>0.16120218579234974</c:v>
                </c:pt>
                <c:pt idx="45">
                  <c:v>0.16666666666666666</c:v>
                </c:pt>
                <c:pt idx="46">
                  <c:v>0.15846994535519127</c:v>
                </c:pt>
                <c:pt idx="47">
                  <c:v>0.1830601092896175</c:v>
                </c:pt>
                <c:pt idx="48">
                  <c:v>0.16939890710382513</c:v>
                </c:pt>
                <c:pt idx="49">
                  <c:v>0.1448087431693989</c:v>
                </c:pt>
                <c:pt idx="50">
                  <c:v>0.16393442622950818</c:v>
                </c:pt>
                <c:pt idx="51">
                  <c:v>0.1830601092896175</c:v>
                </c:pt>
                <c:pt idx="52">
                  <c:v>0.1830601092896175</c:v>
                </c:pt>
                <c:pt idx="53">
                  <c:v>0.16666666666666666</c:v>
                </c:pt>
                <c:pt idx="54">
                  <c:v>0.1721311475409836</c:v>
                </c:pt>
                <c:pt idx="55">
                  <c:v>0.16666666666666666</c:v>
                </c:pt>
                <c:pt idx="56">
                  <c:v>0.14754098360655737</c:v>
                </c:pt>
                <c:pt idx="57">
                  <c:v>0.19672131147540983</c:v>
                </c:pt>
                <c:pt idx="58">
                  <c:v>0.14754098360655737</c:v>
                </c:pt>
                <c:pt idx="59">
                  <c:v>0.17460317460317459</c:v>
                </c:pt>
                <c:pt idx="60">
                  <c:v>0.16137566137566137</c:v>
                </c:pt>
                <c:pt idx="61">
                  <c:v>0.15343915343915343</c:v>
                </c:pt>
                <c:pt idx="62">
                  <c:v>0.1693121693121693</c:v>
                </c:pt>
                <c:pt idx="63">
                  <c:v>0.16402116402116401</c:v>
                </c:pt>
                <c:pt idx="64">
                  <c:v>0.12169312169312169</c:v>
                </c:pt>
                <c:pt idx="65">
                  <c:v>0.12962962962962962</c:v>
                </c:pt>
                <c:pt idx="66">
                  <c:v>0.15608465608465608</c:v>
                </c:pt>
                <c:pt idx="67">
                  <c:v>0.15873015873015872</c:v>
                </c:pt>
                <c:pt idx="68">
                  <c:v>0.1402116402116402</c:v>
                </c:pt>
                <c:pt idx="69">
                  <c:v>0.16137566137566137</c:v>
                </c:pt>
                <c:pt idx="70">
                  <c:v>0.15343915343915343</c:v>
                </c:pt>
                <c:pt idx="71">
                  <c:v>0.1693121693121693</c:v>
                </c:pt>
                <c:pt idx="72">
                  <c:v>0.17195767195767195</c:v>
                </c:pt>
                <c:pt idx="73">
                  <c:v>0.19576719576719576</c:v>
                </c:pt>
                <c:pt idx="74">
                  <c:v>0.15343915343915343</c:v>
                </c:pt>
                <c:pt idx="75">
                  <c:v>0.16402116402116401</c:v>
                </c:pt>
                <c:pt idx="76">
                  <c:v>0.18253968253968253</c:v>
                </c:pt>
                <c:pt idx="77">
                  <c:v>0.17460317460317459</c:v>
                </c:pt>
                <c:pt idx="78">
                  <c:v>0.17724867724867724</c:v>
                </c:pt>
                <c:pt idx="79">
                  <c:v>0.18783068783068782</c:v>
                </c:pt>
                <c:pt idx="80">
                  <c:v>0.17724867724867724</c:v>
                </c:pt>
                <c:pt idx="81">
                  <c:v>0.14550264550264549</c:v>
                </c:pt>
                <c:pt idx="82">
                  <c:v>0.15343915343915343</c:v>
                </c:pt>
                <c:pt idx="83">
                  <c:v>0.19312169312169311</c:v>
                </c:pt>
                <c:pt idx="84">
                  <c:v>0.15343915343915343</c:v>
                </c:pt>
                <c:pt idx="85">
                  <c:v>0.20105820105820105</c:v>
                </c:pt>
                <c:pt idx="86">
                  <c:v>0.16402116402116401</c:v>
                </c:pt>
                <c:pt idx="87">
                  <c:v>0.17460317460317459</c:v>
                </c:pt>
                <c:pt idx="88">
                  <c:v>0.15608465608465608</c:v>
                </c:pt>
                <c:pt idx="89">
                  <c:v>0.15521628498727735</c:v>
                </c:pt>
                <c:pt idx="90">
                  <c:v>0.13231552162849872</c:v>
                </c:pt>
                <c:pt idx="91">
                  <c:v>0.17557251908396945</c:v>
                </c:pt>
                <c:pt idx="92">
                  <c:v>0.17811704834605599</c:v>
                </c:pt>
                <c:pt idx="93">
                  <c:v>0.11450381679389313</c:v>
                </c:pt>
                <c:pt idx="94">
                  <c:v>0.19592875318066158</c:v>
                </c:pt>
                <c:pt idx="95">
                  <c:v>0.15521628498727735</c:v>
                </c:pt>
                <c:pt idx="96">
                  <c:v>0.14249363867684478</c:v>
                </c:pt>
                <c:pt idx="97">
                  <c:v>0.16793893129770993</c:v>
                </c:pt>
                <c:pt idx="98">
                  <c:v>0.12977099236641221</c:v>
                </c:pt>
                <c:pt idx="99">
                  <c:v>0.15012722646310434</c:v>
                </c:pt>
                <c:pt idx="100">
                  <c:v>0.16539440203562342</c:v>
                </c:pt>
                <c:pt idx="101">
                  <c:v>0.13486005089058525</c:v>
                </c:pt>
                <c:pt idx="102">
                  <c:v>0.18320610687022901</c:v>
                </c:pt>
                <c:pt idx="103">
                  <c:v>0.15776081424936386</c:v>
                </c:pt>
                <c:pt idx="104">
                  <c:v>0.15776081424936386</c:v>
                </c:pt>
                <c:pt idx="105">
                  <c:v>0.17811704834605599</c:v>
                </c:pt>
                <c:pt idx="106">
                  <c:v>0.15776081424936386</c:v>
                </c:pt>
                <c:pt idx="107">
                  <c:v>0.20865139949109415</c:v>
                </c:pt>
                <c:pt idx="108">
                  <c:v>0.13231552162849872</c:v>
                </c:pt>
                <c:pt idx="109">
                  <c:v>0.16539440203562342</c:v>
                </c:pt>
                <c:pt idx="110">
                  <c:v>0.16284987277353691</c:v>
                </c:pt>
                <c:pt idx="111">
                  <c:v>0.14503816793893129</c:v>
                </c:pt>
                <c:pt idx="112">
                  <c:v>0.1475826972010178</c:v>
                </c:pt>
                <c:pt idx="113">
                  <c:v>0.16793893129770993</c:v>
                </c:pt>
                <c:pt idx="114">
                  <c:v>0.15267175572519084</c:v>
                </c:pt>
                <c:pt idx="115">
                  <c:v>0.13994910941475827</c:v>
                </c:pt>
                <c:pt idx="116">
                  <c:v>0.16539440203562342</c:v>
                </c:pt>
                <c:pt idx="117">
                  <c:v>0.13740458015267176</c:v>
                </c:pt>
                <c:pt idx="118">
                  <c:v>0.16793893129770993</c:v>
                </c:pt>
                <c:pt idx="119">
                  <c:v>0.18320610687022901</c:v>
                </c:pt>
                <c:pt idx="120">
                  <c:v>0.13615023474178403</c:v>
                </c:pt>
                <c:pt idx="121">
                  <c:v>0.12910798122065728</c:v>
                </c:pt>
                <c:pt idx="122">
                  <c:v>0.13145539906103287</c:v>
                </c:pt>
                <c:pt idx="123">
                  <c:v>0.14788732394366197</c:v>
                </c:pt>
                <c:pt idx="124">
                  <c:v>0.1619718309859155</c:v>
                </c:pt>
                <c:pt idx="125">
                  <c:v>0.14553990610328638</c:v>
                </c:pt>
                <c:pt idx="126">
                  <c:v>0.14084507042253522</c:v>
                </c:pt>
                <c:pt idx="127">
                  <c:v>0.14084507042253522</c:v>
                </c:pt>
                <c:pt idx="128">
                  <c:v>0.14084507042253522</c:v>
                </c:pt>
                <c:pt idx="129">
                  <c:v>0.12910798122065728</c:v>
                </c:pt>
                <c:pt idx="130">
                  <c:v>0.14553990610328638</c:v>
                </c:pt>
                <c:pt idx="131">
                  <c:v>0.12441314553990611</c:v>
                </c:pt>
                <c:pt idx="132">
                  <c:v>0.12676056338028169</c:v>
                </c:pt>
                <c:pt idx="133">
                  <c:v>0.107981220657277</c:v>
                </c:pt>
                <c:pt idx="134">
                  <c:v>0.12910798122065728</c:v>
                </c:pt>
                <c:pt idx="135">
                  <c:v>0.11971830985915492</c:v>
                </c:pt>
                <c:pt idx="136">
                  <c:v>0.13615023474178403</c:v>
                </c:pt>
                <c:pt idx="137">
                  <c:v>0.11971830985915492</c:v>
                </c:pt>
                <c:pt idx="138">
                  <c:v>9.3896713615023469E-2</c:v>
                </c:pt>
                <c:pt idx="139">
                  <c:v>0.11737089201877934</c:v>
                </c:pt>
                <c:pt idx="140">
                  <c:v>7.9812206572769953E-2</c:v>
                </c:pt>
                <c:pt idx="141">
                  <c:v>9.6244131455399062E-2</c:v>
                </c:pt>
                <c:pt idx="142">
                  <c:v>9.154929577464789E-2</c:v>
                </c:pt>
                <c:pt idx="143">
                  <c:v>7.5117370892018781E-2</c:v>
                </c:pt>
                <c:pt idx="144">
                  <c:v>7.5117370892018781E-2</c:v>
                </c:pt>
                <c:pt idx="145">
                  <c:v>7.2769953051643188E-2</c:v>
                </c:pt>
                <c:pt idx="146">
                  <c:v>8.2159624413145546E-2</c:v>
                </c:pt>
                <c:pt idx="147">
                  <c:v>7.5117370892018781E-2</c:v>
                </c:pt>
                <c:pt idx="148">
                  <c:v>5.39906103286385E-2</c:v>
                </c:pt>
                <c:pt idx="149">
                  <c:v>8.2159624413145546E-2</c:v>
                </c:pt>
                <c:pt idx="150">
                  <c:v>8.2051282051282051E-2</c:v>
                </c:pt>
                <c:pt idx="151">
                  <c:v>6.4102564102564097E-2</c:v>
                </c:pt>
                <c:pt idx="152">
                  <c:v>4.8717948717948718E-2</c:v>
                </c:pt>
                <c:pt idx="153">
                  <c:v>7.6923076923076927E-2</c:v>
                </c:pt>
                <c:pt idx="154">
                  <c:v>5.8974358974358973E-2</c:v>
                </c:pt>
                <c:pt idx="155">
                  <c:v>8.2051282051282051E-2</c:v>
                </c:pt>
                <c:pt idx="156">
                  <c:v>8.9743589743589744E-2</c:v>
                </c:pt>
                <c:pt idx="157">
                  <c:v>7.4358974358974358E-2</c:v>
                </c:pt>
                <c:pt idx="158">
                  <c:v>9.2307692307692313E-2</c:v>
                </c:pt>
                <c:pt idx="159">
                  <c:v>7.6923076923076927E-2</c:v>
                </c:pt>
                <c:pt idx="160">
                  <c:v>6.4102564102564097E-2</c:v>
                </c:pt>
                <c:pt idx="161">
                  <c:v>7.9487179487179482E-2</c:v>
                </c:pt>
                <c:pt idx="162">
                  <c:v>8.7179487179487175E-2</c:v>
                </c:pt>
                <c:pt idx="163">
                  <c:v>5.6410256410256411E-2</c:v>
                </c:pt>
                <c:pt idx="164">
                  <c:v>6.6666666666666666E-2</c:v>
                </c:pt>
                <c:pt idx="165">
                  <c:v>6.9230769230769235E-2</c:v>
                </c:pt>
                <c:pt idx="166">
                  <c:v>7.179487179487179E-2</c:v>
                </c:pt>
                <c:pt idx="167">
                  <c:v>5.128205128205128E-2</c:v>
                </c:pt>
                <c:pt idx="168">
                  <c:v>8.2051282051282051E-2</c:v>
                </c:pt>
                <c:pt idx="169">
                  <c:v>7.179487179487179E-2</c:v>
                </c:pt>
                <c:pt idx="170">
                  <c:v>7.179487179487179E-2</c:v>
                </c:pt>
                <c:pt idx="171">
                  <c:v>7.4358974358974358E-2</c:v>
                </c:pt>
                <c:pt idx="172">
                  <c:v>9.2307692307692313E-2</c:v>
                </c:pt>
                <c:pt idx="173">
                  <c:v>6.1538461538461542E-2</c:v>
                </c:pt>
                <c:pt idx="174">
                  <c:v>8.461538461538462E-2</c:v>
                </c:pt>
                <c:pt idx="175">
                  <c:v>6.6666666666666666E-2</c:v>
                </c:pt>
                <c:pt idx="176">
                  <c:v>6.1538461538461542E-2</c:v>
                </c:pt>
                <c:pt idx="177">
                  <c:v>8.2051282051282051E-2</c:v>
                </c:pt>
                <c:pt idx="178">
                  <c:v>7.4358974358974358E-2</c:v>
                </c:pt>
                <c:pt idx="179">
                  <c:v>5.6410256410256411E-2</c:v>
                </c:pt>
                <c:pt idx="180">
                  <c:v>9.4871794871794868E-2</c:v>
                </c:pt>
                <c:pt idx="181">
                  <c:v>4.4776119402985072E-2</c:v>
                </c:pt>
                <c:pt idx="182">
                  <c:v>6.5298507462686561E-2</c:v>
                </c:pt>
                <c:pt idx="183">
                  <c:v>7.4626865671641784E-2</c:v>
                </c:pt>
                <c:pt idx="184">
                  <c:v>8.5820895522388058E-2</c:v>
                </c:pt>
                <c:pt idx="185">
                  <c:v>6.7164179104477612E-2</c:v>
                </c:pt>
                <c:pt idx="186">
                  <c:v>8.5820895522388058E-2</c:v>
                </c:pt>
                <c:pt idx="187">
                  <c:v>6.5298507462686561E-2</c:v>
                </c:pt>
                <c:pt idx="188">
                  <c:v>9.8880597014925367E-2</c:v>
                </c:pt>
                <c:pt idx="189">
                  <c:v>9.8880597014925367E-2</c:v>
                </c:pt>
                <c:pt idx="190">
                  <c:v>9.7014925373134331E-2</c:v>
                </c:pt>
                <c:pt idx="191">
                  <c:v>0.12126865671641791</c:v>
                </c:pt>
                <c:pt idx="192">
                  <c:v>9.7014925373134331E-2</c:v>
                </c:pt>
                <c:pt idx="193">
                  <c:v>0.11567164179104478</c:v>
                </c:pt>
                <c:pt idx="194">
                  <c:v>0.14365671641791045</c:v>
                </c:pt>
                <c:pt idx="195">
                  <c:v>0.11380597014925373</c:v>
                </c:pt>
                <c:pt idx="196">
                  <c:v>0.13059701492537312</c:v>
                </c:pt>
                <c:pt idx="197">
                  <c:v>0.12313432835820895</c:v>
                </c:pt>
                <c:pt idx="198">
                  <c:v>0.13619402985074627</c:v>
                </c:pt>
                <c:pt idx="199">
                  <c:v>0.13619402985074627</c:v>
                </c:pt>
                <c:pt idx="200">
                  <c:v>0.14925373134328357</c:v>
                </c:pt>
                <c:pt idx="201">
                  <c:v>0.13992537313432835</c:v>
                </c:pt>
                <c:pt idx="202">
                  <c:v>0.16791044776119404</c:v>
                </c:pt>
                <c:pt idx="203">
                  <c:v>0.1455223880597015</c:v>
                </c:pt>
                <c:pt idx="204">
                  <c:v>0.16791044776119404</c:v>
                </c:pt>
                <c:pt idx="205">
                  <c:v>0.16417910447761194</c:v>
                </c:pt>
                <c:pt idx="206">
                  <c:v>0.15485074626865672</c:v>
                </c:pt>
                <c:pt idx="207">
                  <c:v>0.17164179104477612</c:v>
                </c:pt>
                <c:pt idx="208">
                  <c:v>0.18470149253731344</c:v>
                </c:pt>
                <c:pt idx="209">
                  <c:v>0.17350746268656717</c:v>
                </c:pt>
                <c:pt idx="210">
                  <c:v>0.21455223880597016</c:v>
                </c:pt>
                <c:pt idx="211">
                  <c:v>0.20149253731343283</c:v>
                </c:pt>
                <c:pt idx="212">
                  <c:v>0.16091954022988506</c:v>
                </c:pt>
                <c:pt idx="213">
                  <c:v>0.1235632183908046</c:v>
                </c:pt>
                <c:pt idx="214">
                  <c:v>0.14080459770114942</c:v>
                </c:pt>
                <c:pt idx="215">
                  <c:v>0.14367816091954022</c:v>
                </c:pt>
                <c:pt idx="216">
                  <c:v>0.13649425287356323</c:v>
                </c:pt>
                <c:pt idx="217">
                  <c:v>0.14080459770114942</c:v>
                </c:pt>
                <c:pt idx="218">
                  <c:v>0.12931034482758622</c:v>
                </c:pt>
                <c:pt idx="219">
                  <c:v>0.15373563218390804</c:v>
                </c:pt>
                <c:pt idx="220">
                  <c:v>0.14511494252873564</c:v>
                </c:pt>
                <c:pt idx="221">
                  <c:v>0.14942528735632185</c:v>
                </c:pt>
                <c:pt idx="222">
                  <c:v>0.14080459770114942</c:v>
                </c:pt>
                <c:pt idx="223">
                  <c:v>0.14511494252873564</c:v>
                </c:pt>
                <c:pt idx="224">
                  <c:v>0.13505747126436782</c:v>
                </c:pt>
                <c:pt idx="225">
                  <c:v>0.15517241379310345</c:v>
                </c:pt>
                <c:pt idx="226">
                  <c:v>0.14798850574712644</c:v>
                </c:pt>
                <c:pt idx="227">
                  <c:v>0.13649425287356323</c:v>
                </c:pt>
                <c:pt idx="228">
                  <c:v>0.15373563218390804</c:v>
                </c:pt>
                <c:pt idx="229">
                  <c:v>0.16666666666666666</c:v>
                </c:pt>
                <c:pt idx="230">
                  <c:v>0.15660919540229884</c:v>
                </c:pt>
                <c:pt idx="231">
                  <c:v>0.1206896551724138</c:v>
                </c:pt>
                <c:pt idx="232">
                  <c:v>0.14080459770114942</c:v>
                </c:pt>
                <c:pt idx="233">
                  <c:v>0.16522988505747127</c:v>
                </c:pt>
                <c:pt idx="234">
                  <c:v>0.13649425287356323</c:v>
                </c:pt>
                <c:pt idx="235">
                  <c:v>0.15229885057471265</c:v>
                </c:pt>
                <c:pt idx="236">
                  <c:v>0.16954022988505746</c:v>
                </c:pt>
                <c:pt idx="237">
                  <c:v>0.18247126436781611</c:v>
                </c:pt>
                <c:pt idx="238">
                  <c:v>0.14942528735632185</c:v>
                </c:pt>
                <c:pt idx="239">
                  <c:v>0.18821839080459771</c:v>
                </c:pt>
                <c:pt idx="240">
                  <c:v>8.4196891191709838E-2</c:v>
                </c:pt>
                <c:pt idx="241">
                  <c:v>8.937823834196891E-2</c:v>
                </c:pt>
                <c:pt idx="242">
                  <c:v>0.10816062176165803</c:v>
                </c:pt>
                <c:pt idx="243">
                  <c:v>0.11010362694300518</c:v>
                </c:pt>
                <c:pt idx="244">
                  <c:v>0.10686528497409327</c:v>
                </c:pt>
                <c:pt idx="245">
                  <c:v>9.6502590673575125E-2</c:v>
                </c:pt>
                <c:pt idx="246">
                  <c:v>9.7797927461139897E-2</c:v>
                </c:pt>
                <c:pt idx="247">
                  <c:v>0.11204663212435233</c:v>
                </c:pt>
                <c:pt idx="248">
                  <c:v>9.7150259067357511E-2</c:v>
                </c:pt>
                <c:pt idx="249">
                  <c:v>0.10492227979274611</c:v>
                </c:pt>
                <c:pt idx="250">
                  <c:v>0.1133419689119171</c:v>
                </c:pt>
                <c:pt idx="251">
                  <c:v>0.11398963730569948</c:v>
                </c:pt>
                <c:pt idx="252">
                  <c:v>0.11658031088082901</c:v>
                </c:pt>
                <c:pt idx="253">
                  <c:v>0.10880829015544041</c:v>
                </c:pt>
                <c:pt idx="254">
                  <c:v>0.11981865284974093</c:v>
                </c:pt>
                <c:pt idx="255">
                  <c:v>0.1172279792746114</c:v>
                </c:pt>
                <c:pt idx="256">
                  <c:v>0.11139896373056994</c:v>
                </c:pt>
                <c:pt idx="257">
                  <c:v>0.1211139896373057</c:v>
                </c:pt>
                <c:pt idx="258">
                  <c:v>0.14119170984455959</c:v>
                </c:pt>
                <c:pt idx="259">
                  <c:v>0.11917098445595854</c:v>
                </c:pt>
                <c:pt idx="260">
                  <c:v>0.12564766839378239</c:v>
                </c:pt>
                <c:pt idx="261">
                  <c:v>8.4844559585492224E-2</c:v>
                </c:pt>
                <c:pt idx="262">
                  <c:v>0.11398963730569948</c:v>
                </c:pt>
                <c:pt idx="263">
                  <c:v>8.8082901554404139E-2</c:v>
                </c:pt>
                <c:pt idx="264">
                  <c:v>9.9093264248704668E-2</c:v>
                </c:pt>
                <c:pt idx="265">
                  <c:v>0.10297927461139897</c:v>
                </c:pt>
                <c:pt idx="266">
                  <c:v>9.2616580310880825E-2</c:v>
                </c:pt>
                <c:pt idx="267">
                  <c:v>0.10103626943005181</c:v>
                </c:pt>
                <c:pt idx="268">
                  <c:v>9.7797927461139897E-2</c:v>
                </c:pt>
                <c:pt idx="269">
                  <c:v>9.585492227979274E-2</c:v>
                </c:pt>
                <c:pt idx="270">
                  <c:v>0.11917098445595854</c:v>
                </c:pt>
                <c:pt idx="271">
                  <c:v>0.19863680623174293</c:v>
                </c:pt>
                <c:pt idx="272">
                  <c:v>0.20934761441090555</c:v>
                </c:pt>
                <c:pt idx="273">
                  <c:v>0.19279454722492698</c:v>
                </c:pt>
                <c:pt idx="274">
                  <c:v>0.19376825705939629</c:v>
                </c:pt>
                <c:pt idx="275">
                  <c:v>0.1830574488802337</c:v>
                </c:pt>
                <c:pt idx="276">
                  <c:v>0.19182083739045763</c:v>
                </c:pt>
                <c:pt idx="277">
                  <c:v>0.186952288218111</c:v>
                </c:pt>
                <c:pt idx="278">
                  <c:v>0.19474196689386564</c:v>
                </c:pt>
                <c:pt idx="279">
                  <c:v>0.186952288218111</c:v>
                </c:pt>
                <c:pt idx="280">
                  <c:v>0.16747809152872445</c:v>
                </c:pt>
                <c:pt idx="281">
                  <c:v>0.15579357351509251</c:v>
                </c:pt>
                <c:pt idx="282">
                  <c:v>0.16358325219084713</c:v>
                </c:pt>
                <c:pt idx="283">
                  <c:v>0.1665043816942551</c:v>
                </c:pt>
                <c:pt idx="284">
                  <c:v>0.14995131450827653</c:v>
                </c:pt>
                <c:pt idx="285">
                  <c:v>0.14216163583252192</c:v>
                </c:pt>
                <c:pt idx="286">
                  <c:v>0.16163583252190847</c:v>
                </c:pt>
                <c:pt idx="287">
                  <c:v>0.13047711781888996</c:v>
                </c:pt>
                <c:pt idx="288">
                  <c:v>0.1450827653359299</c:v>
                </c:pt>
                <c:pt idx="289">
                  <c:v>0.12852969814995133</c:v>
                </c:pt>
                <c:pt idx="290">
                  <c:v>0.12755598831548198</c:v>
                </c:pt>
                <c:pt idx="291">
                  <c:v>0.10126582278481013</c:v>
                </c:pt>
                <c:pt idx="292">
                  <c:v>0.10223953261927946</c:v>
                </c:pt>
                <c:pt idx="293">
                  <c:v>0.10223953261927946</c:v>
                </c:pt>
                <c:pt idx="294">
                  <c:v>8.7633885102239531E-2</c:v>
                </c:pt>
                <c:pt idx="295">
                  <c:v>9.8344693281402148E-2</c:v>
                </c:pt>
                <c:pt idx="296">
                  <c:v>8.9581304771178191E-2</c:v>
                </c:pt>
                <c:pt idx="297">
                  <c:v>6.621226874391431E-2</c:v>
                </c:pt>
                <c:pt idx="298">
                  <c:v>7.3028237585199607E-2</c:v>
                </c:pt>
                <c:pt idx="299">
                  <c:v>7.108081791626096E-2</c:v>
                </c:pt>
                <c:pt idx="300">
                  <c:v>6.91333982473223E-2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B6-46B2-845D-39623994E4DD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9933919"/>
        <c:axId val="819938719"/>
      </c:lineChart>
      <c:dateAx>
        <c:axId val="819933919"/>
        <c:scaling>
          <c:orientation val="minMax"/>
        </c:scaling>
        <c:delete val="0"/>
        <c:axPos val="b"/>
        <c:numFmt formatCode="dd/mm/yy;@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19938719"/>
        <c:crosses val="autoZero"/>
        <c:auto val="1"/>
        <c:lblOffset val="100"/>
        <c:baseTimeUnit val="days"/>
      </c:dateAx>
      <c:valAx>
        <c:axId val="819938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19933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38100</xdr:colOff>
      <xdr:row>1</xdr:row>
      <xdr:rowOff>7626</xdr:rowOff>
    </xdr:from>
    <xdr:to>
      <xdr:col>26</xdr:col>
      <xdr:colOff>7620</xdr:colOff>
      <xdr:row>29</xdr:row>
      <xdr:rowOff>15240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B1EC5829-2321-CFD0-A145-6D5E0C7158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22860</xdr:colOff>
      <xdr:row>30</xdr:row>
      <xdr:rowOff>0</xdr:rowOff>
    </xdr:from>
    <xdr:to>
      <xdr:col>26</xdr:col>
      <xdr:colOff>0</xdr:colOff>
      <xdr:row>62</xdr:row>
      <xdr:rowOff>38100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A278257B-5456-4C99-D78C-050035164C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4"/>
  <sheetViews>
    <sheetView tabSelected="1" topLeftCell="F1" workbookViewId="0">
      <pane ySplit="1" topLeftCell="A2" activePane="bottomLeft" state="frozen"/>
      <selection pane="bottomLeft" activeCell="AB22" sqref="AB22"/>
    </sheetView>
  </sheetViews>
  <sheetFormatPr defaultRowHeight="14.4" x14ac:dyDescent="0.3"/>
  <cols>
    <col min="1" max="1" width="11" style="2" customWidth="1"/>
    <col min="2" max="2" width="10.21875" style="2" customWidth="1"/>
    <col min="3" max="3" width="11.109375" style="1" customWidth="1"/>
    <col min="4" max="4" width="11.109375" style="2" customWidth="1"/>
    <col min="8" max="8" width="9.5546875" bestFit="1" customWidth="1"/>
  </cols>
  <sheetData>
    <row r="1" spans="1:8" ht="15" thickBot="1" x14ac:dyDescent="0.35">
      <c r="A1" s="6" t="s">
        <v>2</v>
      </c>
      <c r="B1" s="6" t="s">
        <v>4</v>
      </c>
      <c r="C1" s="7" t="s">
        <v>0</v>
      </c>
      <c r="D1" s="6" t="s">
        <v>1</v>
      </c>
      <c r="E1" s="6" t="s">
        <v>5</v>
      </c>
      <c r="F1" s="6" t="s">
        <v>3</v>
      </c>
      <c r="G1" s="6" t="s">
        <v>7</v>
      </c>
      <c r="H1" s="6" t="s">
        <v>8</v>
      </c>
    </row>
    <row r="2" spans="1:8" x14ac:dyDescent="0.3">
      <c r="A2" s="2">
        <f>MONTH(C2)</f>
        <v>7</v>
      </c>
      <c r="B2" s="2">
        <f>_xlfn.ISOWEEKNUM(C2)</f>
        <v>26</v>
      </c>
      <c r="C2" s="1">
        <v>44744</v>
      </c>
      <c r="D2" s="3">
        <v>3</v>
      </c>
      <c r="E2">
        <f>VLOOKUP(B2,WAU!$A:$C,3,0)</f>
        <v>6</v>
      </c>
      <c r="F2">
        <f>VLOOKUP(A2,MAU!$A:$C,3,0)</f>
        <v>193</v>
      </c>
      <c r="G2" s="5">
        <f>D2/E2</f>
        <v>0.5</v>
      </c>
      <c r="H2" s="5">
        <f>D2/F2</f>
        <v>1.5544041450777202E-2</v>
      </c>
    </row>
    <row r="3" spans="1:8" x14ac:dyDescent="0.3">
      <c r="A3" s="2">
        <f t="shared" ref="A3:A66" si="0">MONTH(C3)</f>
        <v>7</v>
      </c>
      <c r="B3" s="2">
        <f t="shared" ref="B3:B66" si="1">_xlfn.ISOWEEKNUM(C3)</f>
        <v>26</v>
      </c>
      <c r="C3" s="1">
        <v>44745</v>
      </c>
      <c r="D3" s="3">
        <v>6</v>
      </c>
      <c r="E3">
        <f>VLOOKUP(B3,WAU!$A:$C,3,0)</f>
        <v>6</v>
      </c>
      <c r="F3">
        <f>VLOOKUP(A3,MAU!$A:$C,3,0)</f>
        <v>193</v>
      </c>
      <c r="G3" s="5">
        <f t="shared" ref="G3:G66" si="2">D3/E3</f>
        <v>1</v>
      </c>
      <c r="H3" s="5">
        <f t="shared" ref="H3:H66" si="3">D3/F3</f>
        <v>3.1088082901554404E-2</v>
      </c>
    </row>
    <row r="4" spans="1:8" x14ac:dyDescent="0.3">
      <c r="A4" s="2">
        <f t="shared" si="0"/>
        <v>7</v>
      </c>
      <c r="B4" s="2">
        <f t="shared" si="1"/>
        <v>27</v>
      </c>
      <c r="C4" s="1">
        <v>44746</v>
      </c>
      <c r="D4" s="3">
        <v>5</v>
      </c>
      <c r="E4">
        <f>VLOOKUP(B4,WAU!$A:$C,3,0)</f>
        <v>59</v>
      </c>
      <c r="F4">
        <f>VLOOKUP(A4,MAU!$A:$C,3,0)</f>
        <v>193</v>
      </c>
      <c r="G4" s="5">
        <f t="shared" si="2"/>
        <v>8.4745762711864403E-2</v>
      </c>
      <c r="H4" s="5">
        <f t="shared" si="3"/>
        <v>2.5906735751295335E-2</v>
      </c>
    </row>
    <row r="5" spans="1:8" x14ac:dyDescent="0.3">
      <c r="A5" s="2">
        <f t="shared" si="0"/>
        <v>7</v>
      </c>
      <c r="B5" s="2">
        <f t="shared" si="1"/>
        <v>27</v>
      </c>
      <c r="C5" s="1">
        <v>44747</v>
      </c>
      <c r="D5" s="3">
        <v>10</v>
      </c>
      <c r="E5">
        <f>VLOOKUP(B5,WAU!$A:$C,3,0)</f>
        <v>59</v>
      </c>
      <c r="F5">
        <f>VLOOKUP(A5,MAU!$A:$C,3,0)</f>
        <v>193</v>
      </c>
      <c r="G5" s="5">
        <f t="shared" si="2"/>
        <v>0.16949152542372881</v>
      </c>
      <c r="H5" s="5">
        <f t="shared" si="3"/>
        <v>5.181347150259067E-2</v>
      </c>
    </row>
    <row r="6" spans="1:8" x14ac:dyDescent="0.3">
      <c r="A6" s="2">
        <f t="shared" si="0"/>
        <v>7</v>
      </c>
      <c r="B6" s="2">
        <f t="shared" si="1"/>
        <v>27</v>
      </c>
      <c r="C6" s="1">
        <v>44748</v>
      </c>
      <c r="D6" s="3">
        <v>5</v>
      </c>
      <c r="E6">
        <f>VLOOKUP(B6,WAU!$A:$C,3,0)</f>
        <v>59</v>
      </c>
      <c r="F6">
        <f>VLOOKUP(A6,MAU!$A:$C,3,0)</f>
        <v>193</v>
      </c>
      <c r="G6" s="5">
        <f t="shared" si="2"/>
        <v>8.4745762711864403E-2</v>
      </c>
      <c r="H6" s="5">
        <f t="shared" si="3"/>
        <v>2.5906735751295335E-2</v>
      </c>
    </row>
    <row r="7" spans="1:8" x14ac:dyDescent="0.3">
      <c r="A7" s="2">
        <f t="shared" si="0"/>
        <v>7</v>
      </c>
      <c r="B7" s="2">
        <f t="shared" si="1"/>
        <v>27</v>
      </c>
      <c r="C7" s="1">
        <v>44749</v>
      </c>
      <c r="D7" s="3">
        <v>13</v>
      </c>
      <c r="E7">
        <f>VLOOKUP(B7,WAU!$A:$C,3,0)</f>
        <v>59</v>
      </c>
      <c r="F7">
        <f>VLOOKUP(A7,MAU!$A:$C,3,0)</f>
        <v>193</v>
      </c>
      <c r="G7" s="5">
        <f t="shared" si="2"/>
        <v>0.22033898305084745</v>
      </c>
      <c r="H7" s="5">
        <f t="shared" si="3"/>
        <v>6.7357512953367879E-2</v>
      </c>
    </row>
    <row r="8" spans="1:8" x14ac:dyDescent="0.3">
      <c r="A8" s="2">
        <f t="shared" si="0"/>
        <v>7</v>
      </c>
      <c r="B8" s="2">
        <f t="shared" si="1"/>
        <v>27</v>
      </c>
      <c r="C8" s="1">
        <v>44750</v>
      </c>
      <c r="D8" s="3">
        <v>22</v>
      </c>
      <c r="E8">
        <f>VLOOKUP(B8,WAU!$A:$C,3,0)</f>
        <v>59</v>
      </c>
      <c r="F8">
        <f>VLOOKUP(A8,MAU!$A:$C,3,0)</f>
        <v>193</v>
      </c>
      <c r="G8" s="5">
        <f t="shared" si="2"/>
        <v>0.3728813559322034</v>
      </c>
      <c r="H8" s="5">
        <f t="shared" si="3"/>
        <v>0.11398963730569948</v>
      </c>
    </row>
    <row r="9" spans="1:8" x14ac:dyDescent="0.3">
      <c r="A9" s="2">
        <f t="shared" si="0"/>
        <v>7</v>
      </c>
      <c r="B9" s="2">
        <f t="shared" si="1"/>
        <v>27</v>
      </c>
      <c r="C9" s="1">
        <v>44751</v>
      </c>
      <c r="D9" s="3">
        <v>22</v>
      </c>
      <c r="E9">
        <f>VLOOKUP(B9,WAU!$A:$C,3,0)</f>
        <v>59</v>
      </c>
      <c r="F9">
        <f>VLOOKUP(A9,MAU!$A:$C,3,0)</f>
        <v>193</v>
      </c>
      <c r="G9" s="5">
        <f t="shared" si="2"/>
        <v>0.3728813559322034</v>
      </c>
      <c r="H9" s="5">
        <f t="shared" si="3"/>
        <v>0.11398963730569948</v>
      </c>
    </row>
    <row r="10" spans="1:8" x14ac:dyDescent="0.3">
      <c r="A10" s="2">
        <f t="shared" si="0"/>
        <v>7</v>
      </c>
      <c r="B10" s="2">
        <f t="shared" si="1"/>
        <v>27</v>
      </c>
      <c r="C10" s="1">
        <v>44752</v>
      </c>
      <c r="D10" s="3">
        <v>26</v>
      </c>
      <c r="E10">
        <f>VLOOKUP(B10,WAU!$A:$C,3,0)</f>
        <v>59</v>
      </c>
      <c r="F10">
        <f>VLOOKUP(A10,MAU!$A:$C,3,0)</f>
        <v>193</v>
      </c>
      <c r="G10" s="5">
        <f t="shared" si="2"/>
        <v>0.44067796610169491</v>
      </c>
      <c r="H10" s="5">
        <f t="shared" si="3"/>
        <v>0.13471502590673576</v>
      </c>
    </row>
    <row r="11" spans="1:8" x14ac:dyDescent="0.3">
      <c r="A11" s="2">
        <f t="shared" si="0"/>
        <v>7</v>
      </c>
      <c r="B11" s="2">
        <f t="shared" si="1"/>
        <v>28</v>
      </c>
      <c r="C11" s="1">
        <v>44753</v>
      </c>
      <c r="D11" s="3">
        <v>23</v>
      </c>
      <c r="E11">
        <f>VLOOKUP(B11,WAU!$A:$C,3,0)</f>
        <v>92</v>
      </c>
      <c r="F11">
        <f>VLOOKUP(A11,MAU!$A:$C,3,0)</f>
        <v>193</v>
      </c>
      <c r="G11" s="5">
        <f t="shared" si="2"/>
        <v>0.25</v>
      </c>
      <c r="H11" s="5">
        <f t="shared" si="3"/>
        <v>0.11917098445595854</v>
      </c>
    </row>
    <row r="12" spans="1:8" x14ac:dyDescent="0.3">
      <c r="A12" s="2">
        <f t="shared" si="0"/>
        <v>7</v>
      </c>
      <c r="B12" s="2">
        <f t="shared" si="1"/>
        <v>28</v>
      </c>
      <c r="C12" s="1">
        <v>44754</v>
      </c>
      <c r="D12" s="3">
        <v>24</v>
      </c>
      <c r="E12">
        <f>VLOOKUP(B12,WAU!$A:$C,3,0)</f>
        <v>92</v>
      </c>
      <c r="F12">
        <f>VLOOKUP(A12,MAU!$A:$C,3,0)</f>
        <v>193</v>
      </c>
      <c r="G12" s="5">
        <f t="shared" si="2"/>
        <v>0.2608695652173913</v>
      </c>
      <c r="H12" s="5">
        <f t="shared" si="3"/>
        <v>0.12435233160621761</v>
      </c>
    </row>
    <row r="13" spans="1:8" x14ac:dyDescent="0.3">
      <c r="A13" s="2">
        <f t="shared" si="0"/>
        <v>7</v>
      </c>
      <c r="B13" s="2">
        <f t="shared" si="1"/>
        <v>28</v>
      </c>
      <c r="C13" s="1">
        <v>44755</v>
      </c>
      <c r="D13" s="3">
        <v>30</v>
      </c>
      <c r="E13">
        <f>VLOOKUP(B13,WAU!$A:$C,3,0)</f>
        <v>92</v>
      </c>
      <c r="F13">
        <f>VLOOKUP(A13,MAU!$A:$C,3,0)</f>
        <v>193</v>
      </c>
      <c r="G13" s="5">
        <f t="shared" si="2"/>
        <v>0.32608695652173914</v>
      </c>
      <c r="H13" s="5">
        <f t="shared" si="3"/>
        <v>0.15544041450777202</v>
      </c>
    </row>
    <row r="14" spans="1:8" x14ac:dyDescent="0.3">
      <c r="A14" s="2">
        <f t="shared" si="0"/>
        <v>7</v>
      </c>
      <c r="B14" s="2">
        <f t="shared" si="1"/>
        <v>28</v>
      </c>
      <c r="C14" s="1">
        <v>44756</v>
      </c>
      <c r="D14" s="3">
        <v>32</v>
      </c>
      <c r="E14">
        <f>VLOOKUP(B14,WAU!$A:$C,3,0)</f>
        <v>92</v>
      </c>
      <c r="F14">
        <f>VLOOKUP(A14,MAU!$A:$C,3,0)</f>
        <v>193</v>
      </c>
      <c r="G14" s="5">
        <f t="shared" si="2"/>
        <v>0.34782608695652173</v>
      </c>
      <c r="H14" s="5">
        <f t="shared" si="3"/>
        <v>0.16580310880829016</v>
      </c>
    </row>
    <row r="15" spans="1:8" x14ac:dyDescent="0.3">
      <c r="A15" s="2">
        <f t="shared" si="0"/>
        <v>7</v>
      </c>
      <c r="B15" s="2">
        <f t="shared" si="1"/>
        <v>28</v>
      </c>
      <c r="C15" s="1">
        <v>44757</v>
      </c>
      <c r="D15" s="3">
        <v>25</v>
      </c>
      <c r="E15">
        <f>VLOOKUP(B15,WAU!$A:$C,3,0)</f>
        <v>92</v>
      </c>
      <c r="F15">
        <f>VLOOKUP(A15,MAU!$A:$C,3,0)</f>
        <v>193</v>
      </c>
      <c r="G15" s="5">
        <f t="shared" si="2"/>
        <v>0.27173913043478259</v>
      </c>
      <c r="H15" s="5">
        <f t="shared" si="3"/>
        <v>0.12953367875647667</v>
      </c>
    </row>
    <row r="16" spans="1:8" x14ac:dyDescent="0.3">
      <c r="A16" s="2">
        <f t="shared" si="0"/>
        <v>7</v>
      </c>
      <c r="B16" s="2">
        <f t="shared" si="1"/>
        <v>28</v>
      </c>
      <c r="C16" s="1">
        <v>44758</v>
      </c>
      <c r="D16" s="3">
        <v>34</v>
      </c>
      <c r="E16">
        <f>VLOOKUP(B16,WAU!$A:$C,3,0)</f>
        <v>92</v>
      </c>
      <c r="F16">
        <f>VLOOKUP(A16,MAU!$A:$C,3,0)</f>
        <v>193</v>
      </c>
      <c r="G16" s="5">
        <f t="shared" si="2"/>
        <v>0.36956521739130432</v>
      </c>
      <c r="H16" s="5">
        <f t="shared" si="3"/>
        <v>0.17616580310880828</v>
      </c>
    </row>
    <row r="17" spans="1:8" x14ac:dyDescent="0.3">
      <c r="A17" s="2">
        <f t="shared" si="0"/>
        <v>7</v>
      </c>
      <c r="B17" s="2">
        <f t="shared" si="1"/>
        <v>28</v>
      </c>
      <c r="C17" s="1">
        <v>44759</v>
      </c>
      <c r="D17" s="3">
        <v>39</v>
      </c>
      <c r="E17">
        <f>VLOOKUP(B17,WAU!$A:$C,3,0)</f>
        <v>92</v>
      </c>
      <c r="F17">
        <f>VLOOKUP(A17,MAU!$A:$C,3,0)</f>
        <v>193</v>
      </c>
      <c r="G17" s="5">
        <f t="shared" si="2"/>
        <v>0.42391304347826086</v>
      </c>
      <c r="H17" s="5">
        <f t="shared" si="3"/>
        <v>0.20207253886010362</v>
      </c>
    </row>
    <row r="18" spans="1:8" x14ac:dyDescent="0.3">
      <c r="A18" s="2">
        <f t="shared" si="0"/>
        <v>7</v>
      </c>
      <c r="B18" s="2">
        <f t="shared" si="1"/>
        <v>29</v>
      </c>
      <c r="C18" s="1">
        <v>44760</v>
      </c>
      <c r="D18" s="3">
        <v>22</v>
      </c>
      <c r="E18">
        <f>VLOOKUP(B18,WAU!$A:$C,3,0)</f>
        <v>133</v>
      </c>
      <c r="F18">
        <f>VLOOKUP(A18,MAU!$A:$C,3,0)</f>
        <v>193</v>
      </c>
      <c r="G18" s="5">
        <f t="shared" si="2"/>
        <v>0.16541353383458646</v>
      </c>
      <c r="H18" s="5">
        <f t="shared" si="3"/>
        <v>0.11398963730569948</v>
      </c>
    </row>
    <row r="19" spans="1:8" x14ac:dyDescent="0.3">
      <c r="A19" s="2">
        <f t="shared" si="0"/>
        <v>7</v>
      </c>
      <c r="B19" s="2">
        <f t="shared" si="1"/>
        <v>29</v>
      </c>
      <c r="C19" s="1">
        <v>44761</v>
      </c>
      <c r="D19" s="3">
        <v>38</v>
      </c>
      <c r="E19">
        <f>VLOOKUP(B19,WAU!$A:$C,3,0)</f>
        <v>133</v>
      </c>
      <c r="F19">
        <f>VLOOKUP(A19,MAU!$A:$C,3,0)</f>
        <v>193</v>
      </c>
      <c r="G19" s="5">
        <f t="shared" si="2"/>
        <v>0.2857142857142857</v>
      </c>
      <c r="H19" s="5">
        <f t="shared" si="3"/>
        <v>0.19689119170984457</v>
      </c>
    </row>
    <row r="20" spans="1:8" x14ac:dyDescent="0.3">
      <c r="A20" s="2">
        <f t="shared" si="0"/>
        <v>7</v>
      </c>
      <c r="B20" s="2">
        <f t="shared" si="1"/>
        <v>29</v>
      </c>
      <c r="C20" s="1">
        <v>44762</v>
      </c>
      <c r="D20" s="3">
        <v>34</v>
      </c>
      <c r="E20">
        <f>VLOOKUP(B20,WAU!$A:$C,3,0)</f>
        <v>133</v>
      </c>
      <c r="F20">
        <f>VLOOKUP(A20,MAU!$A:$C,3,0)</f>
        <v>193</v>
      </c>
      <c r="G20" s="5">
        <f t="shared" si="2"/>
        <v>0.25563909774436089</v>
      </c>
      <c r="H20" s="5">
        <f t="shared" si="3"/>
        <v>0.17616580310880828</v>
      </c>
    </row>
    <row r="21" spans="1:8" x14ac:dyDescent="0.3">
      <c r="A21" s="2">
        <f t="shared" si="0"/>
        <v>7</v>
      </c>
      <c r="B21" s="2">
        <f t="shared" si="1"/>
        <v>29</v>
      </c>
      <c r="C21" s="1">
        <v>44763</v>
      </c>
      <c r="D21" s="3">
        <v>50</v>
      </c>
      <c r="E21">
        <f>VLOOKUP(B21,WAU!$A:$C,3,0)</f>
        <v>133</v>
      </c>
      <c r="F21">
        <f>VLOOKUP(A21,MAU!$A:$C,3,0)</f>
        <v>193</v>
      </c>
      <c r="G21" s="5">
        <f t="shared" si="2"/>
        <v>0.37593984962406013</v>
      </c>
      <c r="H21" s="5">
        <f t="shared" si="3"/>
        <v>0.25906735751295334</v>
      </c>
    </row>
    <row r="22" spans="1:8" x14ac:dyDescent="0.3">
      <c r="A22" s="2">
        <f t="shared" si="0"/>
        <v>7</v>
      </c>
      <c r="B22" s="2">
        <f t="shared" si="1"/>
        <v>29</v>
      </c>
      <c r="C22" s="1">
        <v>44764</v>
      </c>
      <c r="D22" s="3">
        <v>43</v>
      </c>
      <c r="E22">
        <f>VLOOKUP(B22,WAU!$A:$C,3,0)</f>
        <v>133</v>
      </c>
      <c r="F22">
        <f>VLOOKUP(A22,MAU!$A:$C,3,0)</f>
        <v>193</v>
      </c>
      <c r="G22" s="5">
        <f t="shared" si="2"/>
        <v>0.32330827067669171</v>
      </c>
      <c r="H22" s="5">
        <f t="shared" si="3"/>
        <v>0.22279792746113988</v>
      </c>
    </row>
    <row r="23" spans="1:8" x14ac:dyDescent="0.3">
      <c r="A23" s="2">
        <f t="shared" si="0"/>
        <v>7</v>
      </c>
      <c r="B23" s="2">
        <f t="shared" si="1"/>
        <v>29</v>
      </c>
      <c r="C23" s="1">
        <v>44765</v>
      </c>
      <c r="D23" s="3">
        <v>43</v>
      </c>
      <c r="E23">
        <f>VLOOKUP(B23,WAU!$A:$C,3,0)</f>
        <v>133</v>
      </c>
      <c r="F23">
        <f>VLOOKUP(A23,MAU!$A:$C,3,0)</f>
        <v>193</v>
      </c>
      <c r="G23" s="5">
        <f t="shared" si="2"/>
        <v>0.32330827067669171</v>
      </c>
      <c r="H23" s="5">
        <f t="shared" si="3"/>
        <v>0.22279792746113988</v>
      </c>
    </row>
    <row r="24" spans="1:8" x14ac:dyDescent="0.3">
      <c r="A24" s="2">
        <f t="shared" si="0"/>
        <v>7</v>
      </c>
      <c r="B24" s="2">
        <f t="shared" si="1"/>
        <v>29</v>
      </c>
      <c r="C24" s="1">
        <v>44766</v>
      </c>
      <c r="D24" s="3">
        <v>53</v>
      </c>
      <c r="E24">
        <f>VLOOKUP(B24,WAU!$A:$C,3,0)</f>
        <v>133</v>
      </c>
      <c r="F24">
        <f>VLOOKUP(A24,MAU!$A:$C,3,0)</f>
        <v>193</v>
      </c>
      <c r="G24" s="5">
        <f t="shared" si="2"/>
        <v>0.39849624060150374</v>
      </c>
      <c r="H24" s="5">
        <f t="shared" si="3"/>
        <v>0.27461139896373055</v>
      </c>
    </row>
    <row r="25" spans="1:8" x14ac:dyDescent="0.3">
      <c r="A25" s="2">
        <f t="shared" si="0"/>
        <v>7</v>
      </c>
      <c r="B25" s="2">
        <f t="shared" si="1"/>
        <v>30</v>
      </c>
      <c r="C25" s="1">
        <v>44767</v>
      </c>
      <c r="D25" s="3">
        <v>63</v>
      </c>
      <c r="E25">
        <f>VLOOKUP(B25,WAU!$A:$C,3,0)</f>
        <v>183</v>
      </c>
      <c r="F25">
        <f>VLOOKUP(A25,MAU!$A:$C,3,0)</f>
        <v>193</v>
      </c>
      <c r="G25" s="5">
        <f t="shared" si="2"/>
        <v>0.34426229508196721</v>
      </c>
      <c r="H25" s="5">
        <f t="shared" si="3"/>
        <v>0.32642487046632124</v>
      </c>
    </row>
    <row r="26" spans="1:8" x14ac:dyDescent="0.3">
      <c r="A26" s="2">
        <f t="shared" si="0"/>
        <v>7</v>
      </c>
      <c r="B26" s="2">
        <f t="shared" si="1"/>
        <v>30</v>
      </c>
      <c r="C26" s="1">
        <v>44768</v>
      </c>
      <c r="D26" s="3">
        <v>48</v>
      </c>
      <c r="E26">
        <f>VLOOKUP(B26,WAU!$A:$C,3,0)</f>
        <v>183</v>
      </c>
      <c r="F26">
        <f>VLOOKUP(A26,MAU!$A:$C,3,0)</f>
        <v>193</v>
      </c>
      <c r="G26" s="5">
        <f t="shared" si="2"/>
        <v>0.26229508196721313</v>
      </c>
      <c r="H26" s="5">
        <f t="shared" si="3"/>
        <v>0.24870466321243523</v>
      </c>
    </row>
    <row r="27" spans="1:8" x14ac:dyDescent="0.3">
      <c r="A27" s="2">
        <f t="shared" si="0"/>
        <v>7</v>
      </c>
      <c r="B27" s="2">
        <f t="shared" si="1"/>
        <v>30</v>
      </c>
      <c r="C27" s="1">
        <v>44769</v>
      </c>
      <c r="D27" s="3">
        <v>59</v>
      </c>
      <c r="E27">
        <f>VLOOKUP(B27,WAU!$A:$C,3,0)</f>
        <v>183</v>
      </c>
      <c r="F27">
        <f>VLOOKUP(A27,MAU!$A:$C,3,0)</f>
        <v>193</v>
      </c>
      <c r="G27" s="5">
        <f t="shared" si="2"/>
        <v>0.32240437158469948</v>
      </c>
      <c r="H27" s="5">
        <f t="shared" si="3"/>
        <v>0.30569948186528495</v>
      </c>
    </row>
    <row r="28" spans="1:8" x14ac:dyDescent="0.3">
      <c r="A28" s="2">
        <f t="shared" si="0"/>
        <v>7</v>
      </c>
      <c r="B28" s="2">
        <f t="shared" si="1"/>
        <v>30</v>
      </c>
      <c r="C28" s="1">
        <v>44770</v>
      </c>
      <c r="D28" s="3">
        <v>59</v>
      </c>
      <c r="E28">
        <f>VLOOKUP(B28,WAU!$A:$C,3,0)</f>
        <v>183</v>
      </c>
      <c r="F28">
        <f>VLOOKUP(A28,MAU!$A:$C,3,0)</f>
        <v>193</v>
      </c>
      <c r="G28" s="5">
        <f t="shared" si="2"/>
        <v>0.32240437158469948</v>
      </c>
      <c r="H28" s="5">
        <f t="shared" si="3"/>
        <v>0.30569948186528495</v>
      </c>
    </row>
    <row r="29" spans="1:8" x14ac:dyDescent="0.3">
      <c r="A29" s="2">
        <f t="shared" si="0"/>
        <v>7</v>
      </c>
      <c r="B29" s="2">
        <f t="shared" si="1"/>
        <v>30</v>
      </c>
      <c r="C29" s="1">
        <v>44771</v>
      </c>
      <c r="D29" s="3">
        <v>61</v>
      </c>
      <c r="E29">
        <f>VLOOKUP(B29,WAU!$A:$C,3,0)</f>
        <v>183</v>
      </c>
      <c r="F29">
        <f>VLOOKUP(A29,MAU!$A:$C,3,0)</f>
        <v>193</v>
      </c>
      <c r="G29" s="5">
        <f t="shared" si="2"/>
        <v>0.33333333333333331</v>
      </c>
      <c r="H29" s="5">
        <f t="shared" si="3"/>
        <v>0.31606217616580312</v>
      </c>
    </row>
    <row r="30" spans="1:8" x14ac:dyDescent="0.3">
      <c r="A30" s="2">
        <f t="shared" si="0"/>
        <v>7</v>
      </c>
      <c r="B30" s="2">
        <f t="shared" si="1"/>
        <v>30</v>
      </c>
      <c r="C30" s="1">
        <v>44772</v>
      </c>
      <c r="D30" s="3">
        <v>64</v>
      </c>
      <c r="E30">
        <f>VLOOKUP(B30,WAU!$A:$C,3,0)</f>
        <v>183</v>
      </c>
      <c r="F30">
        <f>VLOOKUP(A30,MAU!$A:$C,3,0)</f>
        <v>193</v>
      </c>
      <c r="G30" s="5">
        <f t="shared" si="2"/>
        <v>0.34972677595628415</v>
      </c>
      <c r="H30" s="5">
        <f t="shared" si="3"/>
        <v>0.33160621761658032</v>
      </c>
    </row>
    <row r="31" spans="1:8" x14ac:dyDescent="0.3">
      <c r="A31" s="2">
        <f t="shared" si="0"/>
        <v>7</v>
      </c>
      <c r="B31" s="2">
        <f t="shared" si="1"/>
        <v>30</v>
      </c>
      <c r="C31" s="1">
        <v>44773</v>
      </c>
      <c r="D31" s="3">
        <v>64</v>
      </c>
      <c r="E31">
        <f>VLOOKUP(B31,WAU!$A:$C,3,0)</f>
        <v>183</v>
      </c>
      <c r="F31">
        <f>VLOOKUP(A31,MAU!$A:$C,3,0)</f>
        <v>193</v>
      </c>
      <c r="G31" s="5">
        <f t="shared" si="2"/>
        <v>0.34972677595628415</v>
      </c>
      <c r="H31" s="5">
        <f t="shared" si="3"/>
        <v>0.33160621761658032</v>
      </c>
    </row>
    <row r="32" spans="1:8" x14ac:dyDescent="0.3">
      <c r="A32" s="2">
        <f t="shared" si="0"/>
        <v>8</v>
      </c>
      <c r="B32" s="2">
        <f t="shared" si="1"/>
        <v>31</v>
      </c>
      <c r="C32" s="1">
        <v>44774</v>
      </c>
      <c r="D32" s="3">
        <v>52</v>
      </c>
      <c r="E32">
        <f>VLOOKUP(B32,WAU!$A:$C,3,0)</f>
        <v>202</v>
      </c>
      <c r="F32">
        <f>VLOOKUP(A32,MAU!$A:$C,3,0)</f>
        <v>366</v>
      </c>
      <c r="G32" s="5">
        <f t="shared" si="2"/>
        <v>0.25742574257425743</v>
      </c>
      <c r="H32" s="5">
        <f t="shared" si="3"/>
        <v>0.14207650273224043</v>
      </c>
    </row>
    <row r="33" spans="1:8" x14ac:dyDescent="0.3">
      <c r="A33" s="2">
        <f t="shared" si="0"/>
        <v>8</v>
      </c>
      <c r="B33" s="2">
        <f t="shared" si="1"/>
        <v>31</v>
      </c>
      <c r="C33" s="1">
        <v>44775</v>
      </c>
      <c r="D33" s="3">
        <v>62</v>
      </c>
      <c r="E33">
        <f>VLOOKUP(B33,WAU!$A:$C,3,0)</f>
        <v>202</v>
      </c>
      <c r="F33">
        <f>VLOOKUP(A33,MAU!$A:$C,3,0)</f>
        <v>366</v>
      </c>
      <c r="G33" s="5">
        <f t="shared" si="2"/>
        <v>0.30693069306930693</v>
      </c>
      <c r="H33" s="5">
        <f t="shared" si="3"/>
        <v>0.16939890710382513</v>
      </c>
    </row>
    <row r="34" spans="1:8" x14ac:dyDescent="0.3">
      <c r="A34" s="2">
        <f t="shared" si="0"/>
        <v>8</v>
      </c>
      <c r="B34" s="2">
        <f t="shared" si="1"/>
        <v>31</v>
      </c>
      <c r="C34" s="1">
        <v>44776</v>
      </c>
      <c r="D34" s="3">
        <v>55</v>
      </c>
      <c r="E34">
        <f>VLOOKUP(B34,WAU!$A:$C,3,0)</f>
        <v>202</v>
      </c>
      <c r="F34">
        <f>VLOOKUP(A34,MAU!$A:$C,3,0)</f>
        <v>366</v>
      </c>
      <c r="G34" s="5">
        <f t="shared" si="2"/>
        <v>0.2722772277227723</v>
      </c>
      <c r="H34" s="5">
        <f t="shared" si="3"/>
        <v>0.15027322404371585</v>
      </c>
    </row>
    <row r="35" spans="1:8" x14ac:dyDescent="0.3">
      <c r="A35" s="2">
        <f t="shared" si="0"/>
        <v>8</v>
      </c>
      <c r="B35" s="2">
        <f t="shared" si="1"/>
        <v>31</v>
      </c>
      <c r="C35" s="1">
        <v>44777</v>
      </c>
      <c r="D35" s="3">
        <v>60</v>
      </c>
      <c r="E35">
        <f>VLOOKUP(B35,WAU!$A:$C,3,0)</f>
        <v>202</v>
      </c>
      <c r="F35">
        <f>VLOOKUP(A35,MAU!$A:$C,3,0)</f>
        <v>366</v>
      </c>
      <c r="G35" s="5">
        <f t="shared" si="2"/>
        <v>0.29702970297029702</v>
      </c>
      <c r="H35" s="5">
        <f t="shared" si="3"/>
        <v>0.16393442622950818</v>
      </c>
    </row>
    <row r="36" spans="1:8" x14ac:dyDescent="0.3">
      <c r="A36" s="2">
        <f t="shared" si="0"/>
        <v>8</v>
      </c>
      <c r="B36" s="2">
        <f t="shared" si="1"/>
        <v>31</v>
      </c>
      <c r="C36" s="1">
        <v>44778</v>
      </c>
      <c r="D36" s="3">
        <v>52</v>
      </c>
      <c r="E36">
        <f>VLOOKUP(B36,WAU!$A:$C,3,0)</f>
        <v>202</v>
      </c>
      <c r="F36">
        <f>VLOOKUP(A36,MAU!$A:$C,3,0)</f>
        <v>366</v>
      </c>
      <c r="G36" s="5">
        <f t="shared" si="2"/>
        <v>0.25742574257425743</v>
      </c>
      <c r="H36" s="5">
        <f t="shared" si="3"/>
        <v>0.14207650273224043</v>
      </c>
    </row>
    <row r="37" spans="1:8" x14ac:dyDescent="0.3">
      <c r="A37" s="2">
        <f t="shared" si="0"/>
        <v>8</v>
      </c>
      <c r="B37" s="2">
        <f t="shared" si="1"/>
        <v>31</v>
      </c>
      <c r="C37" s="1">
        <v>44779</v>
      </c>
      <c r="D37" s="3">
        <v>62</v>
      </c>
      <c r="E37">
        <f>VLOOKUP(B37,WAU!$A:$C,3,0)</f>
        <v>202</v>
      </c>
      <c r="F37">
        <f>VLOOKUP(A37,MAU!$A:$C,3,0)</f>
        <v>366</v>
      </c>
      <c r="G37" s="5">
        <f t="shared" si="2"/>
        <v>0.30693069306930693</v>
      </c>
      <c r="H37" s="5">
        <f t="shared" si="3"/>
        <v>0.16939890710382513</v>
      </c>
    </row>
    <row r="38" spans="1:8" x14ac:dyDescent="0.3">
      <c r="A38" s="2">
        <f t="shared" si="0"/>
        <v>8</v>
      </c>
      <c r="B38" s="2">
        <f t="shared" si="1"/>
        <v>31</v>
      </c>
      <c r="C38" s="1">
        <v>44780</v>
      </c>
      <c r="D38" s="3">
        <v>59</v>
      </c>
      <c r="E38">
        <f>VLOOKUP(B38,WAU!$A:$C,3,0)</f>
        <v>202</v>
      </c>
      <c r="F38">
        <f>VLOOKUP(A38,MAU!$A:$C,3,0)</f>
        <v>366</v>
      </c>
      <c r="G38" s="5">
        <f t="shared" si="2"/>
        <v>0.29207920792079206</v>
      </c>
      <c r="H38" s="5">
        <f t="shared" si="3"/>
        <v>0.16120218579234974</v>
      </c>
    </row>
    <row r="39" spans="1:8" x14ac:dyDescent="0.3">
      <c r="A39" s="2">
        <f t="shared" si="0"/>
        <v>8</v>
      </c>
      <c r="B39" s="2">
        <f t="shared" si="1"/>
        <v>32</v>
      </c>
      <c r="C39" s="1">
        <v>44781</v>
      </c>
      <c r="D39" s="3">
        <v>58</v>
      </c>
      <c r="E39">
        <f>VLOOKUP(B39,WAU!$A:$C,3,0)</f>
        <v>193</v>
      </c>
      <c r="F39">
        <f>VLOOKUP(A39,MAU!$A:$C,3,0)</f>
        <v>366</v>
      </c>
      <c r="G39" s="5">
        <f t="shared" si="2"/>
        <v>0.30051813471502592</v>
      </c>
      <c r="H39" s="5">
        <f t="shared" si="3"/>
        <v>0.15846994535519127</v>
      </c>
    </row>
    <row r="40" spans="1:8" x14ac:dyDescent="0.3">
      <c r="A40" s="2">
        <f t="shared" si="0"/>
        <v>8</v>
      </c>
      <c r="B40" s="2">
        <f t="shared" si="1"/>
        <v>32</v>
      </c>
      <c r="C40" s="1">
        <v>44782</v>
      </c>
      <c r="D40" s="3">
        <v>53</v>
      </c>
      <c r="E40">
        <f>VLOOKUP(B40,WAU!$A:$C,3,0)</f>
        <v>193</v>
      </c>
      <c r="F40">
        <f>VLOOKUP(A40,MAU!$A:$C,3,0)</f>
        <v>366</v>
      </c>
      <c r="G40" s="5">
        <f t="shared" si="2"/>
        <v>0.27461139896373055</v>
      </c>
      <c r="H40" s="5">
        <f t="shared" si="3"/>
        <v>0.1448087431693989</v>
      </c>
    </row>
    <row r="41" spans="1:8" x14ac:dyDescent="0.3">
      <c r="A41" s="2">
        <f t="shared" si="0"/>
        <v>8</v>
      </c>
      <c r="B41" s="2">
        <f t="shared" si="1"/>
        <v>32</v>
      </c>
      <c r="C41" s="1">
        <v>44783</v>
      </c>
      <c r="D41" s="3">
        <v>55</v>
      </c>
      <c r="E41">
        <f>VLOOKUP(B41,WAU!$A:$C,3,0)</f>
        <v>193</v>
      </c>
      <c r="F41">
        <f>VLOOKUP(A41,MAU!$A:$C,3,0)</f>
        <v>366</v>
      </c>
      <c r="G41" s="5">
        <f t="shared" si="2"/>
        <v>0.28497409326424872</v>
      </c>
      <c r="H41" s="5">
        <f t="shared" si="3"/>
        <v>0.15027322404371585</v>
      </c>
    </row>
    <row r="42" spans="1:8" x14ac:dyDescent="0.3">
      <c r="A42" s="2">
        <f t="shared" si="0"/>
        <v>8</v>
      </c>
      <c r="B42" s="2">
        <f t="shared" si="1"/>
        <v>32</v>
      </c>
      <c r="C42" s="1">
        <v>44784</v>
      </c>
      <c r="D42" s="3">
        <v>65</v>
      </c>
      <c r="E42">
        <f>VLOOKUP(B42,WAU!$A:$C,3,0)</f>
        <v>193</v>
      </c>
      <c r="F42">
        <f>VLOOKUP(A42,MAU!$A:$C,3,0)</f>
        <v>366</v>
      </c>
      <c r="G42" s="5">
        <f t="shared" si="2"/>
        <v>0.33678756476683935</v>
      </c>
      <c r="H42" s="5">
        <f t="shared" si="3"/>
        <v>0.17759562841530055</v>
      </c>
    </row>
    <row r="43" spans="1:8" x14ac:dyDescent="0.3">
      <c r="A43" s="2">
        <f t="shared" si="0"/>
        <v>8</v>
      </c>
      <c r="B43" s="2">
        <f t="shared" si="1"/>
        <v>32</v>
      </c>
      <c r="C43" s="1">
        <v>44785</v>
      </c>
      <c r="D43" s="3">
        <v>54</v>
      </c>
      <c r="E43">
        <f>VLOOKUP(B43,WAU!$A:$C,3,0)</f>
        <v>193</v>
      </c>
      <c r="F43">
        <f>VLOOKUP(A43,MAU!$A:$C,3,0)</f>
        <v>366</v>
      </c>
      <c r="G43" s="5">
        <f t="shared" si="2"/>
        <v>0.27979274611398963</v>
      </c>
      <c r="H43" s="5">
        <f t="shared" si="3"/>
        <v>0.14754098360655737</v>
      </c>
    </row>
    <row r="44" spans="1:8" x14ac:dyDescent="0.3">
      <c r="A44" s="2">
        <f t="shared" si="0"/>
        <v>8</v>
      </c>
      <c r="B44" s="2">
        <f t="shared" si="1"/>
        <v>32</v>
      </c>
      <c r="C44" s="1">
        <v>44786</v>
      </c>
      <c r="D44" s="3">
        <v>74</v>
      </c>
      <c r="E44">
        <f>VLOOKUP(B44,WAU!$A:$C,3,0)</f>
        <v>193</v>
      </c>
      <c r="F44">
        <f>VLOOKUP(A44,MAU!$A:$C,3,0)</f>
        <v>366</v>
      </c>
      <c r="G44" s="5">
        <f t="shared" si="2"/>
        <v>0.38341968911917096</v>
      </c>
      <c r="H44" s="5">
        <f t="shared" si="3"/>
        <v>0.20218579234972678</v>
      </c>
    </row>
    <row r="45" spans="1:8" x14ac:dyDescent="0.3">
      <c r="A45" s="2">
        <f t="shared" si="0"/>
        <v>8</v>
      </c>
      <c r="B45" s="2">
        <f t="shared" si="1"/>
        <v>32</v>
      </c>
      <c r="C45" s="1">
        <v>44787</v>
      </c>
      <c r="D45" s="3">
        <v>59</v>
      </c>
      <c r="E45">
        <f>VLOOKUP(B45,WAU!$A:$C,3,0)</f>
        <v>193</v>
      </c>
      <c r="F45">
        <f>VLOOKUP(A45,MAU!$A:$C,3,0)</f>
        <v>366</v>
      </c>
      <c r="G45" s="5">
        <f t="shared" si="2"/>
        <v>0.30569948186528495</v>
      </c>
      <c r="H45" s="5">
        <f t="shared" si="3"/>
        <v>0.16120218579234974</v>
      </c>
    </row>
    <row r="46" spans="1:8" x14ac:dyDescent="0.3">
      <c r="A46" s="2">
        <f t="shared" si="0"/>
        <v>8</v>
      </c>
      <c r="B46" s="2">
        <f t="shared" si="1"/>
        <v>33</v>
      </c>
      <c r="C46" s="1">
        <v>44788</v>
      </c>
      <c r="D46" s="3">
        <v>54</v>
      </c>
      <c r="E46">
        <f>VLOOKUP(B46,WAU!$A:$C,3,0)</f>
        <v>201</v>
      </c>
      <c r="F46">
        <f>VLOOKUP(A46,MAU!$A:$C,3,0)</f>
        <v>366</v>
      </c>
      <c r="G46" s="5">
        <f t="shared" si="2"/>
        <v>0.26865671641791045</v>
      </c>
      <c r="H46" s="5">
        <f t="shared" si="3"/>
        <v>0.14754098360655737</v>
      </c>
    </row>
    <row r="47" spans="1:8" x14ac:dyDescent="0.3">
      <c r="A47" s="2">
        <f t="shared" si="0"/>
        <v>8</v>
      </c>
      <c r="B47" s="2">
        <f t="shared" si="1"/>
        <v>33</v>
      </c>
      <c r="C47" s="1">
        <v>44789</v>
      </c>
      <c r="D47" s="3">
        <v>68</v>
      </c>
      <c r="E47">
        <f>VLOOKUP(B47,WAU!$A:$C,3,0)</f>
        <v>201</v>
      </c>
      <c r="F47">
        <f>VLOOKUP(A47,MAU!$A:$C,3,0)</f>
        <v>366</v>
      </c>
      <c r="G47" s="5">
        <f t="shared" si="2"/>
        <v>0.3383084577114428</v>
      </c>
      <c r="H47" s="5">
        <f t="shared" si="3"/>
        <v>0.18579234972677597</v>
      </c>
    </row>
    <row r="48" spans="1:8" x14ac:dyDescent="0.3">
      <c r="A48" s="2">
        <f t="shared" si="0"/>
        <v>8</v>
      </c>
      <c r="B48" s="2">
        <f t="shared" si="1"/>
        <v>33</v>
      </c>
      <c r="C48" s="1">
        <v>44790</v>
      </c>
      <c r="D48" s="3">
        <v>59</v>
      </c>
      <c r="E48">
        <f>VLOOKUP(B48,WAU!$A:$C,3,0)</f>
        <v>201</v>
      </c>
      <c r="F48">
        <f>VLOOKUP(A48,MAU!$A:$C,3,0)</f>
        <v>366</v>
      </c>
      <c r="G48" s="5">
        <f t="shared" si="2"/>
        <v>0.29353233830845771</v>
      </c>
      <c r="H48" s="5">
        <f t="shared" si="3"/>
        <v>0.16120218579234974</v>
      </c>
    </row>
    <row r="49" spans="1:8" x14ac:dyDescent="0.3">
      <c r="A49" s="2">
        <f t="shared" si="0"/>
        <v>8</v>
      </c>
      <c r="B49" s="2">
        <f t="shared" si="1"/>
        <v>33</v>
      </c>
      <c r="C49" s="1">
        <v>44791</v>
      </c>
      <c r="D49" s="3">
        <v>61</v>
      </c>
      <c r="E49">
        <f>VLOOKUP(B49,WAU!$A:$C,3,0)</f>
        <v>201</v>
      </c>
      <c r="F49">
        <f>VLOOKUP(A49,MAU!$A:$C,3,0)</f>
        <v>366</v>
      </c>
      <c r="G49" s="5">
        <f t="shared" si="2"/>
        <v>0.30348258706467662</v>
      </c>
      <c r="H49" s="5">
        <f t="shared" si="3"/>
        <v>0.16666666666666666</v>
      </c>
    </row>
    <row r="50" spans="1:8" x14ac:dyDescent="0.3">
      <c r="A50" s="2">
        <f t="shared" si="0"/>
        <v>8</v>
      </c>
      <c r="B50" s="2">
        <f t="shared" si="1"/>
        <v>33</v>
      </c>
      <c r="C50" s="1">
        <v>44792</v>
      </c>
      <c r="D50" s="3">
        <v>58</v>
      </c>
      <c r="E50">
        <f>VLOOKUP(B50,WAU!$A:$C,3,0)</f>
        <v>201</v>
      </c>
      <c r="F50">
        <f>VLOOKUP(A50,MAU!$A:$C,3,0)</f>
        <v>366</v>
      </c>
      <c r="G50" s="5">
        <f t="shared" si="2"/>
        <v>0.28855721393034828</v>
      </c>
      <c r="H50" s="5">
        <f t="shared" si="3"/>
        <v>0.15846994535519127</v>
      </c>
    </row>
    <row r="51" spans="1:8" x14ac:dyDescent="0.3">
      <c r="A51" s="2">
        <f t="shared" si="0"/>
        <v>8</v>
      </c>
      <c r="B51" s="2">
        <f t="shared" si="1"/>
        <v>33</v>
      </c>
      <c r="C51" s="1">
        <v>44793</v>
      </c>
      <c r="D51" s="3">
        <v>67</v>
      </c>
      <c r="E51">
        <f>VLOOKUP(B51,WAU!$A:$C,3,0)</f>
        <v>201</v>
      </c>
      <c r="F51">
        <f>VLOOKUP(A51,MAU!$A:$C,3,0)</f>
        <v>366</v>
      </c>
      <c r="G51" s="5">
        <f t="shared" si="2"/>
        <v>0.33333333333333331</v>
      </c>
      <c r="H51" s="5">
        <f t="shared" si="3"/>
        <v>0.1830601092896175</v>
      </c>
    </row>
    <row r="52" spans="1:8" x14ac:dyDescent="0.3">
      <c r="A52" s="2">
        <f t="shared" si="0"/>
        <v>8</v>
      </c>
      <c r="B52" s="2">
        <f t="shared" si="1"/>
        <v>33</v>
      </c>
      <c r="C52" s="1">
        <v>44794</v>
      </c>
      <c r="D52" s="3">
        <v>62</v>
      </c>
      <c r="E52">
        <f>VLOOKUP(B52,WAU!$A:$C,3,0)</f>
        <v>201</v>
      </c>
      <c r="F52">
        <f>VLOOKUP(A52,MAU!$A:$C,3,0)</f>
        <v>366</v>
      </c>
      <c r="G52" s="5">
        <f t="shared" si="2"/>
        <v>0.30845771144278605</v>
      </c>
      <c r="H52" s="5">
        <f t="shared" si="3"/>
        <v>0.16939890710382513</v>
      </c>
    </row>
    <row r="53" spans="1:8" x14ac:dyDescent="0.3">
      <c r="A53" s="2">
        <f t="shared" si="0"/>
        <v>8</v>
      </c>
      <c r="B53" s="2">
        <f t="shared" si="1"/>
        <v>34</v>
      </c>
      <c r="C53" s="1">
        <v>44795</v>
      </c>
      <c r="D53" s="3">
        <v>53</v>
      </c>
      <c r="E53">
        <f>VLOOKUP(B53,WAU!$A:$C,3,0)</f>
        <v>206</v>
      </c>
      <c r="F53">
        <f>VLOOKUP(A53,MAU!$A:$C,3,0)</f>
        <v>366</v>
      </c>
      <c r="G53" s="5">
        <f t="shared" si="2"/>
        <v>0.25728155339805825</v>
      </c>
      <c r="H53" s="5">
        <f t="shared" si="3"/>
        <v>0.1448087431693989</v>
      </c>
    </row>
    <row r="54" spans="1:8" x14ac:dyDescent="0.3">
      <c r="A54" s="2">
        <f t="shared" si="0"/>
        <v>8</v>
      </c>
      <c r="B54" s="2">
        <f t="shared" si="1"/>
        <v>34</v>
      </c>
      <c r="C54" s="1">
        <v>44796</v>
      </c>
      <c r="D54" s="3">
        <v>60</v>
      </c>
      <c r="E54">
        <f>VLOOKUP(B54,WAU!$A:$C,3,0)</f>
        <v>206</v>
      </c>
      <c r="F54">
        <f>VLOOKUP(A54,MAU!$A:$C,3,0)</f>
        <v>366</v>
      </c>
      <c r="G54" s="5">
        <f t="shared" si="2"/>
        <v>0.29126213592233008</v>
      </c>
      <c r="H54" s="5">
        <f t="shared" si="3"/>
        <v>0.16393442622950818</v>
      </c>
    </row>
    <row r="55" spans="1:8" x14ac:dyDescent="0.3">
      <c r="A55" s="2">
        <f t="shared" si="0"/>
        <v>8</v>
      </c>
      <c r="B55" s="2">
        <f t="shared" si="1"/>
        <v>34</v>
      </c>
      <c r="C55" s="1">
        <v>44797</v>
      </c>
      <c r="D55" s="3">
        <v>67</v>
      </c>
      <c r="E55">
        <f>VLOOKUP(B55,WAU!$A:$C,3,0)</f>
        <v>206</v>
      </c>
      <c r="F55">
        <f>VLOOKUP(A55,MAU!$A:$C,3,0)</f>
        <v>366</v>
      </c>
      <c r="G55" s="5">
        <f t="shared" si="2"/>
        <v>0.32524271844660196</v>
      </c>
      <c r="H55" s="5">
        <f t="shared" si="3"/>
        <v>0.1830601092896175</v>
      </c>
    </row>
    <row r="56" spans="1:8" x14ac:dyDescent="0.3">
      <c r="A56" s="2">
        <f t="shared" si="0"/>
        <v>8</v>
      </c>
      <c r="B56" s="2">
        <f t="shared" si="1"/>
        <v>34</v>
      </c>
      <c r="C56" s="1">
        <v>44798</v>
      </c>
      <c r="D56" s="3">
        <v>67</v>
      </c>
      <c r="E56">
        <f>VLOOKUP(B56,WAU!$A:$C,3,0)</f>
        <v>206</v>
      </c>
      <c r="F56">
        <f>VLOOKUP(A56,MAU!$A:$C,3,0)</f>
        <v>366</v>
      </c>
      <c r="G56" s="5">
        <f t="shared" si="2"/>
        <v>0.32524271844660196</v>
      </c>
      <c r="H56" s="5">
        <f t="shared" si="3"/>
        <v>0.1830601092896175</v>
      </c>
    </row>
    <row r="57" spans="1:8" x14ac:dyDescent="0.3">
      <c r="A57" s="2">
        <f t="shared" si="0"/>
        <v>8</v>
      </c>
      <c r="B57" s="2">
        <f t="shared" si="1"/>
        <v>34</v>
      </c>
      <c r="C57" s="1">
        <v>44799</v>
      </c>
      <c r="D57" s="3">
        <v>61</v>
      </c>
      <c r="E57">
        <f>VLOOKUP(B57,WAU!$A:$C,3,0)</f>
        <v>206</v>
      </c>
      <c r="F57">
        <f>VLOOKUP(A57,MAU!$A:$C,3,0)</f>
        <v>366</v>
      </c>
      <c r="G57" s="5">
        <f t="shared" si="2"/>
        <v>0.29611650485436891</v>
      </c>
      <c r="H57" s="5">
        <f t="shared" si="3"/>
        <v>0.16666666666666666</v>
      </c>
    </row>
    <row r="58" spans="1:8" x14ac:dyDescent="0.3">
      <c r="A58" s="2">
        <f t="shared" si="0"/>
        <v>8</v>
      </c>
      <c r="B58" s="2">
        <f t="shared" si="1"/>
        <v>34</v>
      </c>
      <c r="C58" s="1">
        <v>44800</v>
      </c>
      <c r="D58" s="3">
        <v>63</v>
      </c>
      <c r="E58">
        <f>VLOOKUP(B58,WAU!$A:$C,3,0)</f>
        <v>206</v>
      </c>
      <c r="F58">
        <f>VLOOKUP(A58,MAU!$A:$C,3,0)</f>
        <v>366</v>
      </c>
      <c r="G58" s="5">
        <f t="shared" si="2"/>
        <v>0.30582524271844658</v>
      </c>
      <c r="H58" s="5">
        <f t="shared" si="3"/>
        <v>0.1721311475409836</v>
      </c>
    </row>
    <row r="59" spans="1:8" x14ac:dyDescent="0.3">
      <c r="A59" s="2">
        <f t="shared" si="0"/>
        <v>8</v>
      </c>
      <c r="B59" s="2">
        <f t="shared" si="1"/>
        <v>34</v>
      </c>
      <c r="C59" s="1">
        <v>44801</v>
      </c>
      <c r="D59" s="3">
        <v>61</v>
      </c>
      <c r="E59">
        <f>VLOOKUP(B59,WAU!$A:$C,3,0)</f>
        <v>206</v>
      </c>
      <c r="F59">
        <f>VLOOKUP(A59,MAU!$A:$C,3,0)</f>
        <v>366</v>
      </c>
      <c r="G59" s="5">
        <f t="shared" si="2"/>
        <v>0.29611650485436891</v>
      </c>
      <c r="H59" s="5">
        <f t="shared" si="3"/>
        <v>0.16666666666666666</v>
      </c>
    </row>
    <row r="60" spans="1:8" x14ac:dyDescent="0.3">
      <c r="A60" s="2">
        <f t="shared" si="0"/>
        <v>8</v>
      </c>
      <c r="B60" s="2">
        <f t="shared" si="1"/>
        <v>35</v>
      </c>
      <c r="C60" s="1">
        <v>44802</v>
      </c>
      <c r="D60" s="3">
        <v>54</v>
      </c>
      <c r="E60">
        <f>VLOOKUP(B60,WAU!$A:$C,3,0)</f>
        <v>192</v>
      </c>
      <c r="F60">
        <f>VLOOKUP(A60,MAU!$A:$C,3,0)</f>
        <v>366</v>
      </c>
      <c r="G60" s="5">
        <f t="shared" si="2"/>
        <v>0.28125</v>
      </c>
      <c r="H60" s="5">
        <f t="shared" si="3"/>
        <v>0.14754098360655737</v>
      </c>
    </row>
    <row r="61" spans="1:8" x14ac:dyDescent="0.3">
      <c r="A61" s="2">
        <f t="shared" si="0"/>
        <v>8</v>
      </c>
      <c r="B61" s="2">
        <f t="shared" si="1"/>
        <v>35</v>
      </c>
      <c r="C61" s="1">
        <v>44803</v>
      </c>
      <c r="D61" s="3">
        <v>72</v>
      </c>
      <c r="E61">
        <f>VLOOKUP(B61,WAU!$A:$C,3,0)</f>
        <v>192</v>
      </c>
      <c r="F61">
        <f>VLOOKUP(A61,MAU!$A:$C,3,0)</f>
        <v>366</v>
      </c>
      <c r="G61" s="5">
        <f t="shared" si="2"/>
        <v>0.375</v>
      </c>
      <c r="H61" s="5">
        <f t="shared" si="3"/>
        <v>0.19672131147540983</v>
      </c>
    </row>
    <row r="62" spans="1:8" x14ac:dyDescent="0.3">
      <c r="A62" s="2">
        <f t="shared" si="0"/>
        <v>8</v>
      </c>
      <c r="B62" s="2">
        <f t="shared" si="1"/>
        <v>35</v>
      </c>
      <c r="C62" s="1">
        <v>44804</v>
      </c>
      <c r="D62" s="3">
        <v>54</v>
      </c>
      <c r="E62">
        <f>VLOOKUP(B62,WAU!$A:$C,3,0)</f>
        <v>192</v>
      </c>
      <c r="F62">
        <f>VLOOKUP(A62,MAU!$A:$C,3,0)</f>
        <v>366</v>
      </c>
      <c r="G62" s="5">
        <f t="shared" si="2"/>
        <v>0.28125</v>
      </c>
      <c r="H62" s="5">
        <f t="shared" si="3"/>
        <v>0.14754098360655737</v>
      </c>
    </row>
    <row r="63" spans="1:8" x14ac:dyDescent="0.3">
      <c r="A63" s="2">
        <f t="shared" si="0"/>
        <v>9</v>
      </c>
      <c r="B63" s="2">
        <f t="shared" si="1"/>
        <v>35</v>
      </c>
      <c r="C63" s="1">
        <v>44805</v>
      </c>
      <c r="D63" s="3">
        <v>66</v>
      </c>
      <c r="E63">
        <f>VLOOKUP(B63,WAU!$A:$C,3,0)</f>
        <v>192</v>
      </c>
      <c r="F63">
        <f>VLOOKUP(A63,MAU!$A:$C,3,0)</f>
        <v>378</v>
      </c>
      <c r="G63" s="5">
        <f t="shared" si="2"/>
        <v>0.34375</v>
      </c>
      <c r="H63" s="5">
        <f t="shared" si="3"/>
        <v>0.17460317460317459</v>
      </c>
    </row>
    <row r="64" spans="1:8" x14ac:dyDescent="0.3">
      <c r="A64" s="2">
        <f t="shared" si="0"/>
        <v>9</v>
      </c>
      <c r="B64" s="2">
        <f t="shared" si="1"/>
        <v>35</v>
      </c>
      <c r="C64" s="1">
        <v>44806</v>
      </c>
      <c r="D64" s="3">
        <v>61</v>
      </c>
      <c r="E64">
        <f>VLOOKUP(B64,WAU!$A:$C,3,0)</f>
        <v>192</v>
      </c>
      <c r="F64">
        <f>VLOOKUP(A64,MAU!$A:$C,3,0)</f>
        <v>378</v>
      </c>
      <c r="G64" s="5">
        <f t="shared" si="2"/>
        <v>0.31770833333333331</v>
      </c>
      <c r="H64" s="5">
        <f t="shared" si="3"/>
        <v>0.16137566137566137</v>
      </c>
    </row>
    <row r="65" spans="1:8" x14ac:dyDescent="0.3">
      <c r="A65" s="2">
        <f t="shared" si="0"/>
        <v>9</v>
      </c>
      <c r="B65" s="2">
        <f t="shared" si="1"/>
        <v>35</v>
      </c>
      <c r="C65" s="1">
        <v>44807</v>
      </c>
      <c r="D65" s="3">
        <v>58</v>
      </c>
      <c r="E65">
        <f>VLOOKUP(B65,WAU!$A:$C,3,0)</f>
        <v>192</v>
      </c>
      <c r="F65">
        <f>VLOOKUP(A65,MAU!$A:$C,3,0)</f>
        <v>378</v>
      </c>
      <c r="G65" s="5">
        <f t="shared" si="2"/>
        <v>0.30208333333333331</v>
      </c>
      <c r="H65" s="5">
        <f t="shared" si="3"/>
        <v>0.15343915343915343</v>
      </c>
    </row>
    <row r="66" spans="1:8" x14ac:dyDescent="0.3">
      <c r="A66" s="2">
        <f t="shared" si="0"/>
        <v>9</v>
      </c>
      <c r="B66" s="2">
        <f t="shared" si="1"/>
        <v>35</v>
      </c>
      <c r="C66" s="1">
        <v>44808</v>
      </c>
      <c r="D66" s="3">
        <v>64</v>
      </c>
      <c r="E66">
        <f>VLOOKUP(B66,WAU!$A:$C,3,0)</f>
        <v>192</v>
      </c>
      <c r="F66">
        <f>VLOOKUP(A66,MAU!$A:$C,3,0)</f>
        <v>378</v>
      </c>
      <c r="G66" s="5">
        <f t="shared" si="2"/>
        <v>0.33333333333333331</v>
      </c>
      <c r="H66" s="5">
        <f t="shared" si="3"/>
        <v>0.1693121693121693</v>
      </c>
    </row>
    <row r="67" spans="1:8" x14ac:dyDescent="0.3">
      <c r="A67" s="2">
        <f t="shared" ref="A67:A130" si="4">MONTH(C67)</f>
        <v>9</v>
      </c>
      <c r="B67" s="2">
        <f t="shared" ref="B67:B130" si="5">_xlfn.ISOWEEKNUM(C67)</f>
        <v>36</v>
      </c>
      <c r="C67" s="1">
        <v>44809</v>
      </c>
      <c r="D67" s="3">
        <v>62</v>
      </c>
      <c r="E67">
        <f>VLOOKUP(B67,WAU!$A:$C,3,0)</f>
        <v>196</v>
      </c>
      <c r="F67">
        <f>VLOOKUP(A67,MAU!$A:$C,3,0)</f>
        <v>378</v>
      </c>
      <c r="G67" s="5">
        <f t="shared" ref="G67:G130" si="6">D67/E67</f>
        <v>0.31632653061224492</v>
      </c>
      <c r="H67" s="5">
        <f t="shared" ref="H67:H130" si="7">D67/F67</f>
        <v>0.16402116402116401</v>
      </c>
    </row>
    <row r="68" spans="1:8" x14ac:dyDescent="0.3">
      <c r="A68" s="2">
        <f t="shared" si="4"/>
        <v>9</v>
      </c>
      <c r="B68" s="2">
        <f t="shared" si="5"/>
        <v>36</v>
      </c>
      <c r="C68" s="1">
        <v>44810</v>
      </c>
      <c r="D68" s="3">
        <v>46</v>
      </c>
      <c r="E68">
        <f>VLOOKUP(B68,WAU!$A:$C,3,0)</f>
        <v>196</v>
      </c>
      <c r="F68">
        <f>VLOOKUP(A68,MAU!$A:$C,3,0)</f>
        <v>378</v>
      </c>
      <c r="G68" s="5">
        <f t="shared" si="6"/>
        <v>0.23469387755102042</v>
      </c>
      <c r="H68" s="5">
        <f t="shared" si="7"/>
        <v>0.12169312169312169</v>
      </c>
    </row>
    <row r="69" spans="1:8" x14ac:dyDescent="0.3">
      <c r="A69" s="2">
        <f t="shared" si="4"/>
        <v>9</v>
      </c>
      <c r="B69" s="2">
        <f t="shared" si="5"/>
        <v>36</v>
      </c>
      <c r="C69" s="1">
        <v>44811</v>
      </c>
      <c r="D69" s="3">
        <v>49</v>
      </c>
      <c r="E69">
        <f>VLOOKUP(B69,WAU!$A:$C,3,0)</f>
        <v>196</v>
      </c>
      <c r="F69">
        <f>VLOOKUP(A69,MAU!$A:$C,3,0)</f>
        <v>378</v>
      </c>
      <c r="G69" s="5">
        <f t="shared" si="6"/>
        <v>0.25</v>
      </c>
      <c r="H69" s="5">
        <f t="shared" si="7"/>
        <v>0.12962962962962962</v>
      </c>
    </row>
    <row r="70" spans="1:8" x14ac:dyDescent="0.3">
      <c r="A70" s="2">
        <f t="shared" si="4"/>
        <v>9</v>
      </c>
      <c r="B70" s="2">
        <f t="shared" si="5"/>
        <v>36</v>
      </c>
      <c r="C70" s="1">
        <v>44812</v>
      </c>
      <c r="D70" s="3">
        <v>59</v>
      </c>
      <c r="E70">
        <f>VLOOKUP(B70,WAU!$A:$C,3,0)</f>
        <v>196</v>
      </c>
      <c r="F70">
        <f>VLOOKUP(A70,MAU!$A:$C,3,0)</f>
        <v>378</v>
      </c>
      <c r="G70" s="5">
        <f t="shared" si="6"/>
        <v>0.30102040816326531</v>
      </c>
      <c r="H70" s="5">
        <f t="shared" si="7"/>
        <v>0.15608465608465608</v>
      </c>
    </row>
    <row r="71" spans="1:8" x14ac:dyDescent="0.3">
      <c r="A71" s="2">
        <f t="shared" si="4"/>
        <v>9</v>
      </c>
      <c r="B71" s="2">
        <f t="shared" si="5"/>
        <v>36</v>
      </c>
      <c r="C71" s="1">
        <v>44813</v>
      </c>
      <c r="D71" s="3">
        <v>60</v>
      </c>
      <c r="E71">
        <f>VLOOKUP(B71,WAU!$A:$C,3,0)</f>
        <v>196</v>
      </c>
      <c r="F71">
        <f>VLOOKUP(A71,MAU!$A:$C,3,0)</f>
        <v>378</v>
      </c>
      <c r="G71" s="5">
        <f t="shared" si="6"/>
        <v>0.30612244897959184</v>
      </c>
      <c r="H71" s="5">
        <f t="shared" si="7"/>
        <v>0.15873015873015872</v>
      </c>
    </row>
    <row r="72" spans="1:8" x14ac:dyDescent="0.3">
      <c r="A72" s="2">
        <f t="shared" si="4"/>
        <v>9</v>
      </c>
      <c r="B72" s="2">
        <f t="shared" si="5"/>
        <v>36</v>
      </c>
      <c r="C72" s="1">
        <v>44814</v>
      </c>
      <c r="D72" s="3">
        <v>53</v>
      </c>
      <c r="E72">
        <f>VLOOKUP(B72,WAU!$A:$C,3,0)</f>
        <v>196</v>
      </c>
      <c r="F72">
        <f>VLOOKUP(A72,MAU!$A:$C,3,0)</f>
        <v>378</v>
      </c>
      <c r="G72" s="5">
        <f t="shared" si="6"/>
        <v>0.27040816326530615</v>
      </c>
      <c r="H72" s="5">
        <f t="shared" si="7"/>
        <v>0.1402116402116402</v>
      </c>
    </row>
    <row r="73" spans="1:8" x14ac:dyDescent="0.3">
      <c r="A73" s="2">
        <f t="shared" si="4"/>
        <v>9</v>
      </c>
      <c r="B73" s="2">
        <f t="shared" si="5"/>
        <v>36</v>
      </c>
      <c r="C73" s="1">
        <v>44815</v>
      </c>
      <c r="D73" s="3">
        <v>61</v>
      </c>
      <c r="E73">
        <f>VLOOKUP(B73,WAU!$A:$C,3,0)</f>
        <v>196</v>
      </c>
      <c r="F73">
        <f>VLOOKUP(A73,MAU!$A:$C,3,0)</f>
        <v>378</v>
      </c>
      <c r="G73" s="5">
        <f t="shared" si="6"/>
        <v>0.31122448979591838</v>
      </c>
      <c r="H73" s="5">
        <f t="shared" si="7"/>
        <v>0.16137566137566137</v>
      </c>
    </row>
    <row r="74" spans="1:8" x14ac:dyDescent="0.3">
      <c r="A74" s="2">
        <f t="shared" si="4"/>
        <v>9</v>
      </c>
      <c r="B74" s="2">
        <f t="shared" si="5"/>
        <v>37</v>
      </c>
      <c r="C74" s="1">
        <v>44816</v>
      </c>
      <c r="D74" s="3">
        <v>58</v>
      </c>
      <c r="E74">
        <f>VLOOKUP(B74,WAU!$A:$C,3,0)</f>
        <v>205</v>
      </c>
      <c r="F74">
        <f>VLOOKUP(A74,MAU!$A:$C,3,0)</f>
        <v>378</v>
      </c>
      <c r="G74" s="5">
        <f t="shared" si="6"/>
        <v>0.28292682926829266</v>
      </c>
      <c r="H74" s="5">
        <f t="shared" si="7"/>
        <v>0.15343915343915343</v>
      </c>
    </row>
    <row r="75" spans="1:8" x14ac:dyDescent="0.3">
      <c r="A75" s="2">
        <f t="shared" si="4"/>
        <v>9</v>
      </c>
      <c r="B75" s="2">
        <f t="shared" si="5"/>
        <v>37</v>
      </c>
      <c r="C75" s="1">
        <v>44817</v>
      </c>
      <c r="D75" s="3">
        <v>64</v>
      </c>
      <c r="E75">
        <f>VLOOKUP(B75,WAU!$A:$C,3,0)</f>
        <v>205</v>
      </c>
      <c r="F75">
        <f>VLOOKUP(A75,MAU!$A:$C,3,0)</f>
        <v>378</v>
      </c>
      <c r="G75" s="5">
        <f t="shared" si="6"/>
        <v>0.31219512195121951</v>
      </c>
      <c r="H75" s="5">
        <f t="shared" si="7"/>
        <v>0.1693121693121693</v>
      </c>
    </row>
    <row r="76" spans="1:8" x14ac:dyDescent="0.3">
      <c r="A76" s="2">
        <f t="shared" si="4"/>
        <v>9</v>
      </c>
      <c r="B76" s="2">
        <f t="shared" si="5"/>
        <v>37</v>
      </c>
      <c r="C76" s="1">
        <v>44818</v>
      </c>
      <c r="D76" s="3">
        <v>65</v>
      </c>
      <c r="E76">
        <f>VLOOKUP(B76,WAU!$A:$C,3,0)</f>
        <v>205</v>
      </c>
      <c r="F76">
        <f>VLOOKUP(A76,MAU!$A:$C,3,0)</f>
        <v>378</v>
      </c>
      <c r="G76" s="5">
        <f t="shared" si="6"/>
        <v>0.31707317073170732</v>
      </c>
      <c r="H76" s="5">
        <f t="shared" si="7"/>
        <v>0.17195767195767195</v>
      </c>
    </row>
    <row r="77" spans="1:8" x14ac:dyDescent="0.3">
      <c r="A77" s="2">
        <f t="shared" si="4"/>
        <v>9</v>
      </c>
      <c r="B77" s="2">
        <f t="shared" si="5"/>
        <v>37</v>
      </c>
      <c r="C77" s="1">
        <v>44819</v>
      </c>
      <c r="D77" s="3">
        <v>74</v>
      </c>
      <c r="E77">
        <f>VLOOKUP(B77,WAU!$A:$C,3,0)</f>
        <v>205</v>
      </c>
      <c r="F77">
        <f>VLOOKUP(A77,MAU!$A:$C,3,0)</f>
        <v>378</v>
      </c>
      <c r="G77" s="5">
        <f t="shared" si="6"/>
        <v>0.36097560975609755</v>
      </c>
      <c r="H77" s="5">
        <f t="shared" si="7"/>
        <v>0.19576719576719576</v>
      </c>
    </row>
    <row r="78" spans="1:8" x14ac:dyDescent="0.3">
      <c r="A78" s="2">
        <f t="shared" si="4"/>
        <v>9</v>
      </c>
      <c r="B78" s="2">
        <f t="shared" si="5"/>
        <v>37</v>
      </c>
      <c r="C78" s="1">
        <v>44820</v>
      </c>
      <c r="D78" s="3">
        <v>58</v>
      </c>
      <c r="E78">
        <f>VLOOKUP(B78,WAU!$A:$C,3,0)</f>
        <v>205</v>
      </c>
      <c r="F78">
        <f>VLOOKUP(A78,MAU!$A:$C,3,0)</f>
        <v>378</v>
      </c>
      <c r="G78" s="5">
        <f t="shared" si="6"/>
        <v>0.28292682926829266</v>
      </c>
      <c r="H78" s="5">
        <f t="shared" si="7"/>
        <v>0.15343915343915343</v>
      </c>
    </row>
    <row r="79" spans="1:8" x14ac:dyDescent="0.3">
      <c r="A79" s="2">
        <f t="shared" si="4"/>
        <v>9</v>
      </c>
      <c r="B79" s="2">
        <f t="shared" si="5"/>
        <v>37</v>
      </c>
      <c r="C79" s="1">
        <v>44821</v>
      </c>
      <c r="D79" s="3">
        <v>62</v>
      </c>
      <c r="E79">
        <f>VLOOKUP(B79,WAU!$A:$C,3,0)</f>
        <v>205</v>
      </c>
      <c r="F79">
        <f>VLOOKUP(A79,MAU!$A:$C,3,0)</f>
        <v>378</v>
      </c>
      <c r="G79" s="5">
        <f t="shared" si="6"/>
        <v>0.30243902439024389</v>
      </c>
      <c r="H79" s="5">
        <f t="shared" si="7"/>
        <v>0.16402116402116401</v>
      </c>
    </row>
    <row r="80" spans="1:8" x14ac:dyDescent="0.3">
      <c r="A80" s="2">
        <f t="shared" si="4"/>
        <v>9</v>
      </c>
      <c r="B80" s="2">
        <f t="shared" si="5"/>
        <v>37</v>
      </c>
      <c r="C80" s="1">
        <v>44822</v>
      </c>
      <c r="D80" s="3">
        <v>69</v>
      </c>
      <c r="E80">
        <f>VLOOKUP(B80,WAU!$A:$C,3,0)</f>
        <v>205</v>
      </c>
      <c r="F80">
        <f>VLOOKUP(A80,MAU!$A:$C,3,0)</f>
        <v>378</v>
      </c>
      <c r="G80" s="5">
        <f t="shared" si="6"/>
        <v>0.33658536585365856</v>
      </c>
      <c r="H80" s="5">
        <f t="shared" si="7"/>
        <v>0.18253968253968253</v>
      </c>
    </row>
    <row r="81" spans="1:8" x14ac:dyDescent="0.3">
      <c r="A81" s="2">
        <f t="shared" si="4"/>
        <v>9</v>
      </c>
      <c r="B81" s="2">
        <f t="shared" si="5"/>
        <v>38</v>
      </c>
      <c r="C81" s="1">
        <v>44823</v>
      </c>
      <c r="D81" s="3">
        <v>66</v>
      </c>
      <c r="E81">
        <f>VLOOKUP(B81,WAU!$A:$C,3,0)</f>
        <v>213</v>
      </c>
      <c r="F81">
        <f>VLOOKUP(A81,MAU!$A:$C,3,0)</f>
        <v>378</v>
      </c>
      <c r="G81" s="5">
        <f t="shared" si="6"/>
        <v>0.30985915492957744</v>
      </c>
      <c r="H81" s="5">
        <f t="shared" si="7"/>
        <v>0.17460317460317459</v>
      </c>
    </row>
    <row r="82" spans="1:8" x14ac:dyDescent="0.3">
      <c r="A82" s="2">
        <f t="shared" si="4"/>
        <v>9</v>
      </c>
      <c r="B82" s="2">
        <f t="shared" si="5"/>
        <v>38</v>
      </c>
      <c r="C82" s="1">
        <v>44824</v>
      </c>
      <c r="D82" s="3">
        <v>67</v>
      </c>
      <c r="E82">
        <f>VLOOKUP(B82,WAU!$A:$C,3,0)</f>
        <v>213</v>
      </c>
      <c r="F82">
        <f>VLOOKUP(A82,MAU!$A:$C,3,0)</f>
        <v>378</v>
      </c>
      <c r="G82" s="5">
        <f t="shared" si="6"/>
        <v>0.31455399061032863</v>
      </c>
      <c r="H82" s="5">
        <f t="shared" si="7"/>
        <v>0.17724867724867724</v>
      </c>
    </row>
    <row r="83" spans="1:8" x14ac:dyDescent="0.3">
      <c r="A83" s="2">
        <f t="shared" si="4"/>
        <v>9</v>
      </c>
      <c r="B83" s="2">
        <f t="shared" si="5"/>
        <v>38</v>
      </c>
      <c r="C83" s="1">
        <v>44825</v>
      </c>
      <c r="D83" s="3">
        <v>71</v>
      </c>
      <c r="E83">
        <f>VLOOKUP(B83,WAU!$A:$C,3,0)</f>
        <v>213</v>
      </c>
      <c r="F83">
        <f>VLOOKUP(A83,MAU!$A:$C,3,0)</f>
        <v>378</v>
      </c>
      <c r="G83" s="5">
        <f t="shared" si="6"/>
        <v>0.33333333333333331</v>
      </c>
      <c r="H83" s="5">
        <f t="shared" si="7"/>
        <v>0.18783068783068782</v>
      </c>
    </row>
    <row r="84" spans="1:8" x14ac:dyDescent="0.3">
      <c r="A84" s="2">
        <f t="shared" si="4"/>
        <v>9</v>
      </c>
      <c r="B84" s="2">
        <f t="shared" si="5"/>
        <v>38</v>
      </c>
      <c r="C84" s="1">
        <v>44826</v>
      </c>
      <c r="D84" s="3">
        <v>67</v>
      </c>
      <c r="E84">
        <f>VLOOKUP(B84,WAU!$A:$C,3,0)</f>
        <v>213</v>
      </c>
      <c r="F84">
        <f>VLOOKUP(A84,MAU!$A:$C,3,0)</f>
        <v>378</v>
      </c>
      <c r="G84" s="5">
        <f t="shared" si="6"/>
        <v>0.31455399061032863</v>
      </c>
      <c r="H84" s="5">
        <f t="shared" si="7"/>
        <v>0.17724867724867724</v>
      </c>
    </row>
    <row r="85" spans="1:8" x14ac:dyDescent="0.3">
      <c r="A85" s="2">
        <f t="shared" si="4"/>
        <v>9</v>
      </c>
      <c r="B85" s="2">
        <f t="shared" si="5"/>
        <v>38</v>
      </c>
      <c r="C85" s="1">
        <v>44827</v>
      </c>
      <c r="D85" s="3">
        <v>55</v>
      </c>
      <c r="E85">
        <f>VLOOKUP(B85,WAU!$A:$C,3,0)</f>
        <v>213</v>
      </c>
      <c r="F85">
        <f>VLOOKUP(A85,MAU!$A:$C,3,0)</f>
        <v>378</v>
      </c>
      <c r="G85" s="5">
        <f t="shared" si="6"/>
        <v>0.25821596244131456</v>
      </c>
      <c r="H85" s="5">
        <f t="shared" si="7"/>
        <v>0.14550264550264549</v>
      </c>
    </row>
    <row r="86" spans="1:8" x14ac:dyDescent="0.3">
      <c r="A86" s="2">
        <f t="shared" si="4"/>
        <v>9</v>
      </c>
      <c r="B86" s="2">
        <f t="shared" si="5"/>
        <v>38</v>
      </c>
      <c r="C86" s="1">
        <v>44828</v>
      </c>
      <c r="D86" s="3">
        <v>58</v>
      </c>
      <c r="E86">
        <f>VLOOKUP(B86,WAU!$A:$C,3,0)</f>
        <v>213</v>
      </c>
      <c r="F86">
        <f>VLOOKUP(A86,MAU!$A:$C,3,0)</f>
        <v>378</v>
      </c>
      <c r="G86" s="5">
        <f t="shared" si="6"/>
        <v>0.27230046948356806</v>
      </c>
      <c r="H86" s="5">
        <f t="shared" si="7"/>
        <v>0.15343915343915343</v>
      </c>
    </row>
    <row r="87" spans="1:8" x14ac:dyDescent="0.3">
      <c r="A87" s="2">
        <f t="shared" si="4"/>
        <v>9</v>
      </c>
      <c r="B87" s="2">
        <f t="shared" si="5"/>
        <v>38</v>
      </c>
      <c r="C87" s="1">
        <v>44829</v>
      </c>
      <c r="D87" s="3">
        <v>73</v>
      </c>
      <c r="E87">
        <f>VLOOKUP(B87,WAU!$A:$C,3,0)</f>
        <v>213</v>
      </c>
      <c r="F87">
        <f>VLOOKUP(A87,MAU!$A:$C,3,0)</f>
        <v>378</v>
      </c>
      <c r="G87" s="5">
        <f t="shared" si="6"/>
        <v>0.34272300469483569</v>
      </c>
      <c r="H87" s="5">
        <f t="shared" si="7"/>
        <v>0.19312169312169311</v>
      </c>
    </row>
    <row r="88" spans="1:8" x14ac:dyDescent="0.3">
      <c r="A88" s="2">
        <f t="shared" si="4"/>
        <v>9</v>
      </c>
      <c r="B88" s="2">
        <f t="shared" si="5"/>
        <v>39</v>
      </c>
      <c r="C88" s="1">
        <v>44830</v>
      </c>
      <c r="D88" s="3">
        <v>58</v>
      </c>
      <c r="E88">
        <f>VLOOKUP(B88,WAU!$A:$C,3,0)</f>
        <v>208</v>
      </c>
      <c r="F88">
        <f>VLOOKUP(A88,MAU!$A:$C,3,0)</f>
        <v>378</v>
      </c>
      <c r="G88" s="5">
        <f t="shared" si="6"/>
        <v>0.27884615384615385</v>
      </c>
      <c r="H88" s="5">
        <f t="shared" si="7"/>
        <v>0.15343915343915343</v>
      </c>
    </row>
    <row r="89" spans="1:8" x14ac:dyDescent="0.3">
      <c r="A89" s="2">
        <f t="shared" si="4"/>
        <v>9</v>
      </c>
      <c r="B89" s="2">
        <f t="shared" si="5"/>
        <v>39</v>
      </c>
      <c r="C89" s="1">
        <v>44831</v>
      </c>
      <c r="D89" s="3">
        <v>76</v>
      </c>
      <c r="E89">
        <f>VLOOKUP(B89,WAU!$A:$C,3,0)</f>
        <v>208</v>
      </c>
      <c r="F89">
        <f>VLOOKUP(A89,MAU!$A:$C,3,0)</f>
        <v>378</v>
      </c>
      <c r="G89" s="5">
        <f t="shared" si="6"/>
        <v>0.36538461538461536</v>
      </c>
      <c r="H89" s="5">
        <f t="shared" si="7"/>
        <v>0.20105820105820105</v>
      </c>
    </row>
    <row r="90" spans="1:8" x14ac:dyDescent="0.3">
      <c r="A90" s="2">
        <f t="shared" si="4"/>
        <v>9</v>
      </c>
      <c r="B90" s="2">
        <f t="shared" si="5"/>
        <v>39</v>
      </c>
      <c r="C90" s="1">
        <v>44832</v>
      </c>
      <c r="D90" s="3">
        <v>62</v>
      </c>
      <c r="E90">
        <f>VLOOKUP(B90,WAU!$A:$C,3,0)</f>
        <v>208</v>
      </c>
      <c r="F90">
        <f>VLOOKUP(A90,MAU!$A:$C,3,0)</f>
        <v>378</v>
      </c>
      <c r="G90" s="5">
        <f t="shared" si="6"/>
        <v>0.29807692307692307</v>
      </c>
      <c r="H90" s="5">
        <f t="shared" si="7"/>
        <v>0.16402116402116401</v>
      </c>
    </row>
    <row r="91" spans="1:8" x14ac:dyDescent="0.3">
      <c r="A91" s="2">
        <f t="shared" si="4"/>
        <v>9</v>
      </c>
      <c r="B91" s="2">
        <f t="shared" si="5"/>
        <v>39</v>
      </c>
      <c r="C91" s="1">
        <v>44833</v>
      </c>
      <c r="D91" s="3">
        <v>66</v>
      </c>
      <c r="E91">
        <f>VLOOKUP(B91,WAU!$A:$C,3,0)</f>
        <v>208</v>
      </c>
      <c r="F91">
        <f>VLOOKUP(A91,MAU!$A:$C,3,0)</f>
        <v>378</v>
      </c>
      <c r="G91" s="5">
        <f t="shared" si="6"/>
        <v>0.31730769230769229</v>
      </c>
      <c r="H91" s="5">
        <f t="shared" si="7"/>
        <v>0.17460317460317459</v>
      </c>
    </row>
    <row r="92" spans="1:8" x14ac:dyDescent="0.3">
      <c r="A92" s="2">
        <f t="shared" si="4"/>
        <v>9</v>
      </c>
      <c r="B92" s="2">
        <f t="shared" si="5"/>
        <v>39</v>
      </c>
      <c r="C92" s="1">
        <v>44834</v>
      </c>
      <c r="D92" s="3">
        <v>59</v>
      </c>
      <c r="E92">
        <f>VLOOKUP(B92,WAU!$A:$C,3,0)</f>
        <v>208</v>
      </c>
      <c r="F92">
        <f>VLOOKUP(A92,MAU!$A:$C,3,0)</f>
        <v>378</v>
      </c>
      <c r="G92" s="5">
        <f t="shared" si="6"/>
        <v>0.28365384615384615</v>
      </c>
      <c r="H92" s="5">
        <f t="shared" si="7"/>
        <v>0.15608465608465608</v>
      </c>
    </row>
    <row r="93" spans="1:8" x14ac:dyDescent="0.3">
      <c r="A93" s="2">
        <f t="shared" si="4"/>
        <v>10</v>
      </c>
      <c r="B93" s="2">
        <f t="shared" si="5"/>
        <v>39</v>
      </c>
      <c r="C93" s="1">
        <v>44835</v>
      </c>
      <c r="D93" s="3">
        <v>61</v>
      </c>
      <c r="E93">
        <f>VLOOKUP(B93,WAU!$A:$C,3,0)</f>
        <v>208</v>
      </c>
      <c r="F93">
        <f>VLOOKUP(A93,MAU!$A:$C,3,0)</f>
        <v>393</v>
      </c>
      <c r="G93" s="5">
        <f t="shared" si="6"/>
        <v>0.29326923076923078</v>
      </c>
      <c r="H93" s="5">
        <f t="shared" si="7"/>
        <v>0.15521628498727735</v>
      </c>
    </row>
    <row r="94" spans="1:8" x14ac:dyDescent="0.3">
      <c r="A94" s="2">
        <f t="shared" si="4"/>
        <v>10</v>
      </c>
      <c r="B94" s="2">
        <f t="shared" si="5"/>
        <v>39</v>
      </c>
      <c r="C94" s="1">
        <v>44836</v>
      </c>
      <c r="D94" s="3">
        <v>52</v>
      </c>
      <c r="E94">
        <f>VLOOKUP(B94,WAU!$A:$C,3,0)</f>
        <v>208</v>
      </c>
      <c r="F94">
        <f>VLOOKUP(A94,MAU!$A:$C,3,0)</f>
        <v>393</v>
      </c>
      <c r="G94" s="5">
        <f t="shared" si="6"/>
        <v>0.25</v>
      </c>
      <c r="H94" s="5">
        <f t="shared" si="7"/>
        <v>0.13231552162849872</v>
      </c>
    </row>
    <row r="95" spans="1:8" x14ac:dyDescent="0.3">
      <c r="A95" s="2">
        <f t="shared" si="4"/>
        <v>10</v>
      </c>
      <c r="B95" s="2">
        <f t="shared" si="5"/>
        <v>40</v>
      </c>
      <c r="C95" s="1">
        <v>44837</v>
      </c>
      <c r="D95" s="3">
        <v>69</v>
      </c>
      <c r="E95">
        <f>VLOOKUP(B95,WAU!$A:$C,3,0)</f>
        <v>207</v>
      </c>
      <c r="F95">
        <f>VLOOKUP(A95,MAU!$A:$C,3,0)</f>
        <v>393</v>
      </c>
      <c r="G95" s="5">
        <f t="shared" si="6"/>
        <v>0.33333333333333331</v>
      </c>
      <c r="H95" s="5">
        <f t="shared" si="7"/>
        <v>0.17557251908396945</v>
      </c>
    </row>
    <row r="96" spans="1:8" x14ac:dyDescent="0.3">
      <c r="A96" s="2">
        <f t="shared" si="4"/>
        <v>10</v>
      </c>
      <c r="B96" s="2">
        <f t="shared" si="5"/>
        <v>40</v>
      </c>
      <c r="C96" s="1">
        <v>44838</v>
      </c>
      <c r="D96" s="3">
        <v>70</v>
      </c>
      <c r="E96">
        <f>VLOOKUP(B96,WAU!$A:$C,3,0)</f>
        <v>207</v>
      </c>
      <c r="F96">
        <f>VLOOKUP(A96,MAU!$A:$C,3,0)</f>
        <v>393</v>
      </c>
      <c r="G96" s="5">
        <f t="shared" si="6"/>
        <v>0.33816425120772947</v>
      </c>
      <c r="H96" s="5">
        <f t="shared" si="7"/>
        <v>0.17811704834605599</v>
      </c>
    </row>
    <row r="97" spans="1:8" x14ac:dyDescent="0.3">
      <c r="A97" s="2">
        <f t="shared" si="4"/>
        <v>10</v>
      </c>
      <c r="B97" s="2">
        <f t="shared" si="5"/>
        <v>40</v>
      </c>
      <c r="C97" s="1">
        <v>44839</v>
      </c>
      <c r="D97" s="3">
        <v>45</v>
      </c>
      <c r="E97">
        <f>VLOOKUP(B97,WAU!$A:$C,3,0)</f>
        <v>207</v>
      </c>
      <c r="F97">
        <f>VLOOKUP(A97,MAU!$A:$C,3,0)</f>
        <v>393</v>
      </c>
      <c r="G97" s="5">
        <f t="shared" si="6"/>
        <v>0.21739130434782608</v>
      </c>
      <c r="H97" s="5">
        <f t="shared" si="7"/>
        <v>0.11450381679389313</v>
      </c>
    </row>
    <row r="98" spans="1:8" x14ac:dyDescent="0.3">
      <c r="A98" s="2">
        <f t="shared" si="4"/>
        <v>10</v>
      </c>
      <c r="B98" s="2">
        <f t="shared" si="5"/>
        <v>40</v>
      </c>
      <c r="C98" s="1">
        <v>44840</v>
      </c>
      <c r="D98" s="3">
        <v>77</v>
      </c>
      <c r="E98">
        <f>VLOOKUP(B98,WAU!$A:$C,3,0)</f>
        <v>207</v>
      </c>
      <c r="F98">
        <f>VLOOKUP(A98,MAU!$A:$C,3,0)</f>
        <v>393</v>
      </c>
      <c r="G98" s="5">
        <f t="shared" si="6"/>
        <v>0.3719806763285024</v>
      </c>
      <c r="H98" s="5">
        <f t="shared" si="7"/>
        <v>0.19592875318066158</v>
      </c>
    </row>
    <row r="99" spans="1:8" x14ac:dyDescent="0.3">
      <c r="A99" s="2">
        <f t="shared" si="4"/>
        <v>10</v>
      </c>
      <c r="B99" s="2">
        <f t="shared" si="5"/>
        <v>40</v>
      </c>
      <c r="C99" s="1">
        <v>44841</v>
      </c>
      <c r="D99" s="3">
        <v>61</v>
      </c>
      <c r="E99">
        <f>VLOOKUP(B99,WAU!$A:$C,3,0)</f>
        <v>207</v>
      </c>
      <c r="F99">
        <f>VLOOKUP(A99,MAU!$A:$C,3,0)</f>
        <v>393</v>
      </c>
      <c r="G99" s="5">
        <f t="shared" si="6"/>
        <v>0.29468599033816423</v>
      </c>
      <c r="H99" s="5">
        <f t="shared" si="7"/>
        <v>0.15521628498727735</v>
      </c>
    </row>
    <row r="100" spans="1:8" x14ac:dyDescent="0.3">
      <c r="A100" s="2">
        <f t="shared" si="4"/>
        <v>10</v>
      </c>
      <c r="B100" s="2">
        <f t="shared" si="5"/>
        <v>40</v>
      </c>
      <c r="C100" s="1">
        <v>44842</v>
      </c>
      <c r="D100" s="3">
        <v>56</v>
      </c>
      <c r="E100">
        <f>VLOOKUP(B100,WAU!$A:$C,3,0)</f>
        <v>207</v>
      </c>
      <c r="F100">
        <f>VLOOKUP(A100,MAU!$A:$C,3,0)</f>
        <v>393</v>
      </c>
      <c r="G100" s="5">
        <f t="shared" si="6"/>
        <v>0.27053140096618356</v>
      </c>
      <c r="H100" s="5">
        <f t="shared" si="7"/>
        <v>0.14249363867684478</v>
      </c>
    </row>
    <row r="101" spans="1:8" x14ac:dyDescent="0.3">
      <c r="A101" s="2">
        <f t="shared" si="4"/>
        <v>10</v>
      </c>
      <c r="B101" s="2">
        <f t="shared" si="5"/>
        <v>40</v>
      </c>
      <c r="C101" s="1">
        <v>44843</v>
      </c>
      <c r="D101" s="3">
        <v>66</v>
      </c>
      <c r="E101">
        <f>VLOOKUP(B101,WAU!$A:$C,3,0)</f>
        <v>207</v>
      </c>
      <c r="F101">
        <f>VLOOKUP(A101,MAU!$A:$C,3,0)</f>
        <v>393</v>
      </c>
      <c r="G101" s="5">
        <f t="shared" si="6"/>
        <v>0.3188405797101449</v>
      </c>
      <c r="H101" s="5">
        <f t="shared" si="7"/>
        <v>0.16793893129770993</v>
      </c>
    </row>
    <row r="102" spans="1:8" x14ac:dyDescent="0.3">
      <c r="A102" s="2">
        <f t="shared" si="4"/>
        <v>10</v>
      </c>
      <c r="B102" s="2">
        <f t="shared" si="5"/>
        <v>41</v>
      </c>
      <c r="C102" s="1">
        <v>44844</v>
      </c>
      <c r="D102" s="3">
        <v>51</v>
      </c>
      <c r="E102">
        <f>VLOOKUP(B102,WAU!$A:$C,3,0)</f>
        <v>204</v>
      </c>
      <c r="F102">
        <f>VLOOKUP(A102,MAU!$A:$C,3,0)</f>
        <v>393</v>
      </c>
      <c r="G102" s="5">
        <f t="shared" si="6"/>
        <v>0.25</v>
      </c>
      <c r="H102" s="5">
        <f t="shared" si="7"/>
        <v>0.12977099236641221</v>
      </c>
    </row>
    <row r="103" spans="1:8" x14ac:dyDescent="0.3">
      <c r="A103" s="2">
        <f t="shared" si="4"/>
        <v>10</v>
      </c>
      <c r="B103" s="2">
        <f t="shared" si="5"/>
        <v>41</v>
      </c>
      <c r="C103" s="1">
        <v>44845</v>
      </c>
      <c r="D103" s="3">
        <v>59</v>
      </c>
      <c r="E103">
        <f>VLOOKUP(B103,WAU!$A:$C,3,0)</f>
        <v>204</v>
      </c>
      <c r="F103">
        <f>VLOOKUP(A103,MAU!$A:$C,3,0)</f>
        <v>393</v>
      </c>
      <c r="G103" s="5">
        <f t="shared" si="6"/>
        <v>0.28921568627450983</v>
      </c>
      <c r="H103" s="5">
        <f t="shared" si="7"/>
        <v>0.15012722646310434</v>
      </c>
    </row>
    <row r="104" spans="1:8" x14ac:dyDescent="0.3">
      <c r="A104" s="2">
        <f t="shared" si="4"/>
        <v>10</v>
      </c>
      <c r="B104" s="2">
        <f t="shared" si="5"/>
        <v>41</v>
      </c>
      <c r="C104" s="1">
        <v>44846</v>
      </c>
      <c r="D104" s="3">
        <v>65</v>
      </c>
      <c r="E104">
        <f>VLOOKUP(B104,WAU!$A:$C,3,0)</f>
        <v>204</v>
      </c>
      <c r="F104">
        <f>VLOOKUP(A104,MAU!$A:$C,3,0)</f>
        <v>393</v>
      </c>
      <c r="G104" s="5">
        <f t="shared" si="6"/>
        <v>0.31862745098039214</v>
      </c>
      <c r="H104" s="5">
        <f t="shared" si="7"/>
        <v>0.16539440203562342</v>
      </c>
    </row>
    <row r="105" spans="1:8" x14ac:dyDescent="0.3">
      <c r="A105" s="2">
        <f t="shared" si="4"/>
        <v>10</v>
      </c>
      <c r="B105" s="2">
        <f t="shared" si="5"/>
        <v>41</v>
      </c>
      <c r="C105" s="1">
        <v>44847</v>
      </c>
      <c r="D105" s="3">
        <v>53</v>
      </c>
      <c r="E105">
        <f>VLOOKUP(B105,WAU!$A:$C,3,0)</f>
        <v>204</v>
      </c>
      <c r="F105">
        <f>VLOOKUP(A105,MAU!$A:$C,3,0)</f>
        <v>393</v>
      </c>
      <c r="G105" s="5">
        <f t="shared" si="6"/>
        <v>0.25980392156862747</v>
      </c>
      <c r="H105" s="5">
        <f t="shared" si="7"/>
        <v>0.13486005089058525</v>
      </c>
    </row>
    <row r="106" spans="1:8" x14ac:dyDescent="0.3">
      <c r="A106" s="2">
        <f t="shared" si="4"/>
        <v>10</v>
      </c>
      <c r="B106" s="2">
        <f t="shared" si="5"/>
        <v>41</v>
      </c>
      <c r="C106" s="1">
        <v>44848</v>
      </c>
      <c r="D106" s="3">
        <v>72</v>
      </c>
      <c r="E106">
        <f>VLOOKUP(B106,WAU!$A:$C,3,0)</f>
        <v>204</v>
      </c>
      <c r="F106">
        <f>VLOOKUP(A106,MAU!$A:$C,3,0)</f>
        <v>393</v>
      </c>
      <c r="G106" s="5">
        <f t="shared" si="6"/>
        <v>0.35294117647058826</v>
      </c>
      <c r="H106" s="5">
        <f t="shared" si="7"/>
        <v>0.18320610687022901</v>
      </c>
    </row>
    <row r="107" spans="1:8" x14ac:dyDescent="0.3">
      <c r="A107" s="2">
        <f t="shared" si="4"/>
        <v>10</v>
      </c>
      <c r="B107" s="2">
        <f t="shared" si="5"/>
        <v>41</v>
      </c>
      <c r="C107" s="1">
        <v>44849</v>
      </c>
      <c r="D107" s="3">
        <v>62</v>
      </c>
      <c r="E107">
        <f>VLOOKUP(B107,WAU!$A:$C,3,0)</f>
        <v>204</v>
      </c>
      <c r="F107">
        <f>VLOOKUP(A107,MAU!$A:$C,3,0)</f>
        <v>393</v>
      </c>
      <c r="G107" s="5">
        <f t="shared" si="6"/>
        <v>0.30392156862745096</v>
      </c>
      <c r="H107" s="5">
        <f t="shared" si="7"/>
        <v>0.15776081424936386</v>
      </c>
    </row>
    <row r="108" spans="1:8" x14ac:dyDescent="0.3">
      <c r="A108" s="2">
        <f t="shared" si="4"/>
        <v>10</v>
      </c>
      <c r="B108" s="2">
        <f t="shared" si="5"/>
        <v>41</v>
      </c>
      <c r="C108" s="1">
        <v>44850</v>
      </c>
      <c r="D108" s="3">
        <v>62</v>
      </c>
      <c r="E108">
        <f>VLOOKUP(B108,WAU!$A:$C,3,0)</f>
        <v>204</v>
      </c>
      <c r="F108">
        <f>VLOOKUP(A108,MAU!$A:$C,3,0)</f>
        <v>393</v>
      </c>
      <c r="G108" s="5">
        <f t="shared" si="6"/>
        <v>0.30392156862745096</v>
      </c>
      <c r="H108" s="5">
        <f t="shared" si="7"/>
        <v>0.15776081424936386</v>
      </c>
    </row>
    <row r="109" spans="1:8" x14ac:dyDescent="0.3">
      <c r="A109" s="2">
        <f t="shared" si="4"/>
        <v>10</v>
      </c>
      <c r="B109" s="2">
        <f t="shared" si="5"/>
        <v>42</v>
      </c>
      <c r="C109" s="1">
        <v>44851</v>
      </c>
      <c r="D109" s="3">
        <v>70</v>
      </c>
      <c r="E109">
        <f>VLOOKUP(B109,WAU!$A:$C,3,0)</f>
        <v>201</v>
      </c>
      <c r="F109">
        <f>VLOOKUP(A109,MAU!$A:$C,3,0)</f>
        <v>393</v>
      </c>
      <c r="G109" s="5">
        <f t="shared" si="6"/>
        <v>0.34825870646766172</v>
      </c>
      <c r="H109" s="5">
        <f t="shared" si="7"/>
        <v>0.17811704834605599</v>
      </c>
    </row>
    <row r="110" spans="1:8" x14ac:dyDescent="0.3">
      <c r="A110" s="2">
        <f t="shared" si="4"/>
        <v>10</v>
      </c>
      <c r="B110" s="2">
        <f t="shared" si="5"/>
        <v>42</v>
      </c>
      <c r="C110" s="1">
        <v>44852</v>
      </c>
      <c r="D110" s="3">
        <v>62</v>
      </c>
      <c r="E110">
        <f>VLOOKUP(B110,WAU!$A:$C,3,0)</f>
        <v>201</v>
      </c>
      <c r="F110">
        <f>VLOOKUP(A110,MAU!$A:$C,3,0)</f>
        <v>393</v>
      </c>
      <c r="G110" s="5">
        <f t="shared" si="6"/>
        <v>0.30845771144278605</v>
      </c>
      <c r="H110" s="5">
        <f t="shared" si="7"/>
        <v>0.15776081424936386</v>
      </c>
    </row>
    <row r="111" spans="1:8" x14ac:dyDescent="0.3">
      <c r="A111" s="2">
        <f t="shared" si="4"/>
        <v>10</v>
      </c>
      <c r="B111" s="2">
        <f t="shared" si="5"/>
        <v>42</v>
      </c>
      <c r="C111" s="1">
        <v>44853</v>
      </c>
      <c r="D111" s="3">
        <v>82</v>
      </c>
      <c r="E111">
        <f>VLOOKUP(B111,WAU!$A:$C,3,0)</f>
        <v>201</v>
      </c>
      <c r="F111">
        <f>VLOOKUP(A111,MAU!$A:$C,3,0)</f>
        <v>393</v>
      </c>
      <c r="G111" s="5">
        <f t="shared" si="6"/>
        <v>0.4079601990049751</v>
      </c>
      <c r="H111" s="5">
        <f t="shared" si="7"/>
        <v>0.20865139949109415</v>
      </c>
    </row>
    <row r="112" spans="1:8" x14ac:dyDescent="0.3">
      <c r="A112" s="2">
        <f t="shared" si="4"/>
        <v>10</v>
      </c>
      <c r="B112" s="2">
        <f t="shared" si="5"/>
        <v>42</v>
      </c>
      <c r="C112" s="1">
        <v>44854</v>
      </c>
      <c r="D112" s="3">
        <v>52</v>
      </c>
      <c r="E112">
        <f>VLOOKUP(B112,WAU!$A:$C,3,0)</f>
        <v>201</v>
      </c>
      <c r="F112">
        <f>VLOOKUP(A112,MAU!$A:$C,3,0)</f>
        <v>393</v>
      </c>
      <c r="G112" s="5">
        <f t="shared" si="6"/>
        <v>0.25870646766169153</v>
      </c>
      <c r="H112" s="5">
        <f t="shared" si="7"/>
        <v>0.13231552162849872</v>
      </c>
    </row>
    <row r="113" spans="1:8" x14ac:dyDescent="0.3">
      <c r="A113" s="2">
        <f t="shared" si="4"/>
        <v>10</v>
      </c>
      <c r="B113" s="2">
        <f t="shared" si="5"/>
        <v>42</v>
      </c>
      <c r="C113" s="1">
        <v>44855</v>
      </c>
      <c r="D113" s="3">
        <v>65</v>
      </c>
      <c r="E113">
        <f>VLOOKUP(B113,WAU!$A:$C,3,0)</f>
        <v>201</v>
      </c>
      <c r="F113">
        <f>VLOOKUP(A113,MAU!$A:$C,3,0)</f>
        <v>393</v>
      </c>
      <c r="G113" s="5">
        <f t="shared" si="6"/>
        <v>0.32338308457711445</v>
      </c>
      <c r="H113" s="5">
        <f t="shared" si="7"/>
        <v>0.16539440203562342</v>
      </c>
    </row>
    <row r="114" spans="1:8" x14ac:dyDescent="0.3">
      <c r="A114" s="2">
        <f t="shared" si="4"/>
        <v>10</v>
      </c>
      <c r="B114" s="2">
        <f t="shared" si="5"/>
        <v>42</v>
      </c>
      <c r="C114" s="1">
        <v>44856</v>
      </c>
      <c r="D114" s="3">
        <v>64</v>
      </c>
      <c r="E114">
        <f>VLOOKUP(B114,WAU!$A:$C,3,0)</f>
        <v>201</v>
      </c>
      <c r="F114">
        <f>VLOOKUP(A114,MAU!$A:$C,3,0)</f>
        <v>393</v>
      </c>
      <c r="G114" s="5">
        <f t="shared" si="6"/>
        <v>0.31840796019900497</v>
      </c>
      <c r="H114" s="5">
        <f t="shared" si="7"/>
        <v>0.16284987277353691</v>
      </c>
    </row>
    <row r="115" spans="1:8" x14ac:dyDescent="0.3">
      <c r="A115" s="2">
        <f t="shared" si="4"/>
        <v>10</v>
      </c>
      <c r="B115" s="2">
        <f t="shared" si="5"/>
        <v>42</v>
      </c>
      <c r="C115" s="1">
        <v>44857</v>
      </c>
      <c r="D115" s="3">
        <v>57</v>
      </c>
      <c r="E115">
        <f>VLOOKUP(B115,WAU!$A:$C,3,0)</f>
        <v>201</v>
      </c>
      <c r="F115">
        <f>VLOOKUP(A115,MAU!$A:$C,3,0)</f>
        <v>393</v>
      </c>
      <c r="G115" s="5">
        <f t="shared" si="6"/>
        <v>0.28358208955223879</v>
      </c>
      <c r="H115" s="5">
        <f t="shared" si="7"/>
        <v>0.14503816793893129</v>
      </c>
    </row>
    <row r="116" spans="1:8" x14ac:dyDescent="0.3">
      <c r="A116" s="2">
        <f t="shared" si="4"/>
        <v>10</v>
      </c>
      <c r="B116" s="2">
        <f t="shared" si="5"/>
        <v>43</v>
      </c>
      <c r="C116" s="1">
        <v>44858</v>
      </c>
      <c r="D116" s="3">
        <v>58</v>
      </c>
      <c r="E116">
        <f>VLOOKUP(B116,WAU!$A:$C,3,0)</f>
        <v>213</v>
      </c>
      <c r="F116">
        <f>VLOOKUP(A116,MAU!$A:$C,3,0)</f>
        <v>393</v>
      </c>
      <c r="G116" s="5">
        <f t="shared" si="6"/>
        <v>0.27230046948356806</v>
      </c>
      <c r="H116" s="5">
        <f t="shared" si="7"/>
        <v>0.1475826972010178</v>
      </c>
    </row>
    <row r="117" spans="1:8" x14ac:dyDescent="0.3">
      <c r="A117" s="2">
        <f t="shared" si="4"/>
        <v>10</v>
      </c>
      <c r="B117" s="2">
        <f t="shared" si="5"/>
        <v>43</v>
      </c>
      <c r="C117" s="1">
        <v>44859</v>
      </c>
      <c r="D117" s="3">
        <v>66</v>
      </c>
      <c r="E117">
        <f>VLOOKUP(B117,WAU!$A:$C,3,0)</f>
        <v>213</v>
      </c>
      <c r="F117">
        <f>VLOOKUP(A117,MAU!$A:$C,3,0)</f>
        <v>393</v>
      </c>
      <c r="G117" s="5">
        <f t="shared" si="6"/>
        <v>0.30985915492957744</v>
      </c>
      <c r="H117" s="5">
        <f t="shared" si="7"/>
        <v>0.16793893129770993</v>
      </c>
    </row>
    <row r="118" spans="1:8" x14ac:dyDescent="0.3">
      <c r="A118" s="2">
        <f t="shared" si="4"/>
        <v>10</v>
      </c>
      <c r="B118" s="2">
        <f t="shared" si="5"/>
        <v>43</v>
      </c>
      <c r="C118" s="1">
        <v>44860</v>
      </c>
      <c r="D118" s="3">
        <v>60</v>
      </c>
      <c r="E118">
        <f>VLOOKUP(B118,WAU!$A:$C,3,0)</f>
        <v>213</v>
      </c>
      <c r="F118">
        <f>VLOOKUP(A118,MAU!$A:$C,3,0)</f>
        <v>393</v>
      </c>
      <c r="G118" s="5">
        <f t="shared" si="6"/>
        <v>0.28169014084507044</v>
      </c>
      <c r="H118" s="5">
        <f t="shared" si="7"/>
        <v>0.15267175572519084</v>
      </c>
    </row>
    <row r="119" spans="1:8" x14ac:dyDescent="0.3">
      <c r="A119" s="2">
        <f t="shared" si="4"/>
        <v>10</v>
      </c>
      <c r="B119" s="2">
        <f t="shared" si="5"/>
        <v>43</v>
      </c>
      <c r="C119" s="1">
        <v>44861</v>
      </c>
      <c r="D119" s="3">
        <v>55</v>
      </c>
      <c r="E119">
        <f>VLOOKUP(B119,WAU!$A:$C,3,0)</f>
        <v>213</v>
      </c>
      <c r="F119">
        <f>VLOOKUP(A119,MAU!$A:$C,3,0)</f>
        <v>393</v>
      </c>
      <c r="G119" s="5">
        <f t="shared" si="6"/>
        <v>0.25821596244131456</v>
      </c>
      <c r="H119" s="5">
        <f t="shared" si="7"/>
        <v>0.13994910941475827</v>
      </c>
    </row>
    <row r="120" spans="1:8" x14ac:dyDescent="0.3">
      <c r="A120" s="2">
        <f t="shared" si="4"/>
        <v>10</v>
      </c>
      <c r="B120" s="2">
        <f t="shared" si="5"/>
        <v>43</v>
      </c>
      <c r="C120" s="1">
        <v>44862</v>
      </c>
      <c r="D120" s="3">
        <v>65</v>
      </c>
      <c r="E120">
        <f>VLOOKUP(B120,WAU!$A:$C,3,0)</f>
        <v>213</v>
      </c>
      <c r="F120">
        <f>VLOOKUP(A120,MAU!$A:$C,3,0)</f>
        <v>393</v>
      </c>
      <c r="G120" s="5">
        <f t="shared" si="6"/>
        <v>0.30516431924882631</v>
      </c>
      <c r="H120" s="5">
        <f t="shared" si="7"/>
        <v>0.16539440203562342</v>
      </c>
    </row>
    <row r="121" spans="1:8" x14ac:dyDescent="0.3">
      <c r="A121" s="2">
        <f t="shared" si="4"/>
        <v>10</v>
      </c>
      <c r="B121" s="2">
        <f t="shared" si="5"/>
        <v>43</v>
      </c>
      <c r="C121" s="1">
        <v>44863</v>
      </c>
      <c r="D121" s="3">
        <v>54</v>
      </c>
      <c r="E121">
        <f>VLOOKUP(B121,WAU!$A:$C,3,0)</f>
        <v>213</v>
      </c>
      <c r="F121">
        <f>VLOOKUP(A121,MAU!$A:$C,3,0)</f>
        <v>393</v>
      </c>
      <c r="G121" s="5">
        <f t="shared" si="6"/>
        <v>0.25352112676056338</v>
      </c>
      <c r="H121" s="5">
        <f t="shared" si="7"/>
        <v>0.13740458015267176</v>
      </c>
    </row>
    <row r="122" spans="1:8" x14ac:dyDescent="0.3">
      <c r="A122" s="2">
        <f t="shared" si="4"/>
        <v>10</v>
      </c>
      <c r="B122" s="2">
        <f t="shared" si="5"/>
        <v>43</v>
      </c>
      <c r="C122" s="1">
        <v>44864</v>
      </c>
      <c r="D122" s="3">
        <v>66</v>
      </c>
      <c r="E122">
        <f>VLOOKUP(B122,WAU!$A:$C,3,0)</f>
        <v>213</v>
      </c>
      <c r="F122">
        <f>VLOOKUP(A122,MAU!$A:$C,3,0)</f>
        <v>393</v>
      </c>
      <c r="G122" s="5">
        <f t="shared" si="6"/>
        <v>0.30985915492957744</v>
      </c>
      <c r="H122" s="5">
        <f t="shared" si="7"/>
        <v>0.16793893129770993</v>
      </c>
    </row>
    <row r="123" spans="1:8" x14ac:dyDescent="0.3">
      <c r="A123" s="2">
        <f t="shared" si="4"/>
        <v>10</v>
      </c>
      <c r="B123" s="2">
        <f t="shared" si="5"/>
        <v>44</v>
      </c>
      <c r="C123" s="1">
        <v>44865</v>
      </c>
      <c r="D123" s="3">
        <v>72</v>
      </c>
      <c r="E123">
        <f>VLOOKUP(B123,WAU!$A:$C,3,0)</f>
        <v>214</v>
      </c>
      <c r="F123">
        <f>VLOOKUP(A123,MAU!$A:$C,3,0)</f>
        <v>393</v>
      </c>
      <c r="G123" s="5">
        <f t="shared" si="6"/>
        <v>0.3364485981308411</v>
      </c>
      <c r="H123" s="5">
        <f t="shared" si="7"/>
        <v>0.18320610687022901</v>
      </c>
    </row>
    <row r="124" spans="1:8" x14ac:dyDescent="0.3">
      <c r="A124" s="2">
        <f t="shared" si="4"/>
        <v>11</v>
      </c>
      <c r="B124" s="2">
        <f t="shared" si="5"/>
        <v>44</v>
      </c>
      <c r="C124" s="1">
        <v>44866</v>
      </c>
      <c r="D124" s="3">
        <v>58</v>
      </c>
      <c r="E124">
        <f>VLOOKUP(B124,WAU!$A:$C,3,0)</f>
        <v>214</v>
      </c>
      <c r="F124">
        <f>VLOOKUP(A124,MAU!$A:$C,3,0)</f>
        <v>426</v>
      </c>
      <c r="G124" s="5">
        <f t="shared" si="6"/>
        <v>0.27102803738317754</v>
      </c>
      <c r="H124" s="5">
        <f t="shared" si="7"/>
        <v>0.13615023474178403</v>
      </c>
    </row>
    <row r="125" spans="1:8" x14ac:dyDescent="0.3">
      <c r="A125" s="2">
        <f t="shared" si="4"/>
        <v>11</v>
      </c>
      <c r="B125" s="2">
        <f t="shared" si="5"/>
        <v>44</v>
      </c>
      <c r="C125" s="1">
        <v>44867</v>
      </c>
      <c r="D125" s="3">
        <v>55</v>
      </c>
      <c r="E125">
        <f>VLOOKUP(B125,WAU!$A:$C,3,0)</f>
        <v>214</v>
      </c>
      <c r="F125">
        <f>VLOOKUP(A125,MAU!$A:$C,3,0)</f>
        <v>426</v>
      </c>
      <c r="G125" s="5">
        <f t="shared" si="6"/>
        <v>0.2570093457943925</v>
      </c>
      <c r="H125" s="5">
        <f t="shared" si="7"/>
        <v>0.12910798122065728</v>
      </c>
    </row>
    <row r="126" spans="1:8" x14ac:dyDescent="0.3">
      <c r="A126" s="2">
        <f t="shared" si="4"/>
        <v>11</v>
      </c>
      <c r="B126" s="2">
        <f t="shared" si="5"/>
        <v>44</v>
      </c>
      <c r="C126" s="1">
        <v>44868</v>
      </c>
      <c r="D126" s="3">
        <v>56</v>
      </c>
      <c r="E126">
        <f>VLOOKUP(B126,WAU!$A:$C,3,0)</f>
        <v>214</v>
      </c>
      <c r="F126">
        <f>VLOOKUP(A126,MAU!$A:$C,3,0)</f>
        <v>426</v>
      </c>
      <c r="G126" s="5">
        <f t="shared" si="6"/>
        <v>0.26168224299065418</v>
      </c>
      <c r="H126" s="5">
        <f t="shared" si="7"/>
        <v>0.13145539906103287</v>
      </c>
    </row>
    <row r="127" spans="1:8" x14ac:dyDescent="0.3">
      <c r="A127" s="2">
        <f t="shared" si="4"/>
        <v>11</v>
      </c>
      <c r="B127" s="2">
        <f t="shared" si="5"/>
        <v>44</v>
      </c>
      <c r="C127" s="1">
        <v>44869</v>
      </c>
      <c r="D127" s="3">
        <v>63</v>
      </c>
      <c r="E127">
        <f>VLOOKUP(B127,WAU!$A:$C,3,0)</f>
        <v>214</v>
      </c>
      <c r="F127">
        <f>VLOOKUP(A127,MAU!$A:$C,3,0)</f>
        <v>426</v>
      </c>
      <c r="G127" s="5">
        <f t="shared" si="6"/>
        <v>0.29439252336448596</v>
      </c>
      <c r="H127" s="5">
        <f t="shared" si="7"/>
        <v>0.14788732394366197</v>
      </c>
    </row>
    <row r="128" spans="1:8" x14ac:dyDescent="0.3">
      <c r="A128" s="2">
        <f t="shared" si="4"/>
        <v>11</v>
      </c>
      <c r="B128" s="2">
        <f t="shared" si="5"/>
        <v>44</v>
      </c>
      <c r="C128" s="1">
        <v>44870</v>
      </c>
      <c r="D128" s="3">
        <v>69</v>
      </c>
      <c r="E128">
        <f>VLOOKUP(B128,WAU!$A:$C,3,0)</f>
        <v>214</v>
      </c>
      <c r="F128">
        <f>VLOOKUP(A128,MAU!$A:$C,3,0)</f>
        <v>426</v>
      </c>
      <c r="G128" s="5">
        <f t="shared" si="6"/>
        <v>0.32242990654205606</v>
      </c>
      <c r="H128" s="5">
        <f t="shared" si="7"/>
        <v>0.1619718309859155</v>
      </c>
    </row>
    <row r="129" spans="1:8" x14ac:dyDescent="0.3">
      <c r="A129" s="2">
        <f t="shared" si="4"/>
        <v>11</v>
      </c>
      <c r="B129" s="2">
        <f t="shared" si="5"/>
        <v>44</v>
      </c>
      <c r="C129" s="1">
        <v>44871</v>
      </c>
      <c r="D129" s="3">
        <v>62</v>
      </c>
      <c r="E129">
        <f>VLOOKUP(B129,WAU!$A:$C,3,0)</f>
        <v>214</v>
      </c>
      <c r="F129">
        <f>VLOOKUP(A129,MAU!$A:$C,3,0)</f>
        <v>426</v>
      </c>
      <c r="G129" s="5">
        <f t="shared" si="6"/>
        <v>0.28971962616822428</v>
      </c>
      <c r="H129" s="5">
        <f t="shared" si="7"/>
        <v>0.14553990610328638</v>
      </c>
    </row>
    <row r="130" spans="1:8" x14ac:dyDescent="0.3">
      <c r="A130" s="2">
        <f t="shared" si="4"/>
        <v>11</v>
      </c>
      <c r="B130" s="2">
        <f t="shared" si="5"/>
        <v>45</v>
      </c>
      <c r="C130" s="1">
        <v>44872</v>
      </c>
      <c r="D130" s="3">
        <v>60</v>
      </c>
      <c r="E130">
        <f>VLOOKUP(B130,WAU!$A:$C,3,0)</f>
        <v>203</v>
      </c>
      <c r="F130">
        <f>VLOOKUP(A130,MAU!$A:$C,3,0)</f>
        <v>426</v>
      </c>
      <c r="G130" s="5">
        <f t="shared" si="6"/>
        <v>0.29556650246305421</v>
      </c>
      <c r="H130" s="5">
        <f t="shared" si="7"/>
        <v>0.14084507042253522</v>
      </c>
    </row>
    <row r="131" spans="1:8" x14ac:dyDescent="0.3">
      <c r="A131" s="2">
        <f t="shared" ref="A131:A194" si="8">MONTH(C131)</f>
        <v>11</v>
      </c>
      <c r="B131" s="2">
        <f t="shared" ref="B131:B194" si="9">_xlfn.ISOWEEKNUM(C131)</f>
        <v>45</v>
      </c>
      <c r="C131" s="1">
        <v>44873</v>
      </c>
      <c r="D131" s="3">
        <v>60</v>
      </c>
      <c r="E131">
        <f>VLOOKUP(B131,WAU!$A:$C,3,0)</f>
        <v>203</v>
      </c>
      <c r="F131">
        <f>VLOOKUP(A131,MAU!$A:$C,3,0)</f>
        <v>426</v>
      </c>
      <c r="G131" s="5">
        <f t="shared" ref="G131:G194" si="10">D131/E131</f>
        <v>0.29556650246305421</v>
      </c>
      <c r="H131" s="5">
        <f t="shared" ref="H131:H194" si="11">D131/F131</f>
        <v>0.14084507042253522</v>
      </c>
    </row>
    <row r="132" spans="1:8" x14ac:dyDescent="0.3">
      <c r="A132" s="2">
        <f t="shared" si="8"/>
        <v>11</v>
      </c>
      <c r="B132" s="2">
        <f t="shared" si="9"/>
        <v>45</v>
      </c>
      <c r="C132" s="1">
        <v>44874</v>
      </c>
      <c r="D132" s="3">
        <v>60</v>
      </c>
      <c r="E132">
        <f>VLOOKUP(B132,WAU!$A:$C,3,0)</f>
        <v>203</v>
      </c>
      <c r="F132">
        <f>VLOOKUP(A132,MAU!$A:$C,3,0)</f>
        <v>426</v>
      </c>
      <c r="G132" s="5">
        <f t="shared" si="10"/>
        <v>0.29556650246305421</v>
      </c>
      <c r="H132" s="5">
        <f t="shared" si="11"/>
        <v>0.14084507042253522</v>
      </c>
    </row>
    <row r="133" spans="1:8" x14ac:dyDescent="0.3">
      <c r="A133" s="2">
        <f t="shared" si="8"/>
        <v>11</v>
      </c>
      <c r="B133" s="2">
        <f t="shared" si="9"/>
        <v>45</v>
      </c>
      <c r="C133" s="1">
        <v>44875</v>
      </c>
      <c r="D133" s="3">
        <v>55</v>
      </c>
      <c r="E133">
        <f>VLOOKUP(B133,WAU!$A:$C,3,0)</f>
        <v>203</v>
      </c>
      <c r="F133">
        <f>VLOOKUP(A133,MAU!$A:$C,3,0)</f>
        <v>426</v>
      </c>
      <c r="G133" s="5">
        <f t="shared" si="10"/>
        <v>0.27093596059113301</v>
      </c>
      <c r="H133" s="5">
        <f t="shared" si="11"/>
        <v>0.12910798122065728</v>
      </c>
    </row>
    <row r="134" spans="1:8" x14ac:dyDescent="0.3">
      <c r="A134" s="2">
        <f t="shared" si="8"/>
        <v>11</v>
      </c>
      <c r="B134" s="2">
        <f t="shared" si="9"/>
        <v>45</v>
      </c>
      <c r="C134" s="1">
        <v>44876</v>
      </c>
      <c r="D134" s="3">
        <v>62</v>
      </c>
      <c r="E134">
        <f>VLOOKUP(B134,WAU!$A:$C,3,0)</f>
        <v>203</v>
      </c>
      <c r="F134">
        <f>VLOOKUP(A134,MAU!$A:$C,3,0)</f>
        <v>426</v>
      </c>
      <c r="G134" s="5">
        <f t="shared" si="10"/>
        <v>0.30541871921182268</v>
      </c>
      <c r="H134" s="5">
        <f t="shared" si="11"/>
        <v>0.14553990610328638</v>
      </c>
    </row>
    <row r="135" spans="1:8" x14ac:dyDescent="0.3">
      <c r="A135" s="2">
        <f t="shared" si="8"/>
        <v>11</v>
      </c>
      <c r="B135" s="2">
        <f t="shared" si="9"/>
        <v>45</v>
      </c>
      <c r="C135" s="1">
        <v>44877</v>
      </c>
      <c r="D135" s="3">
        <v>53</v>
      </c>
      <c r="E135">
        <f>VLOOKUP(B135,WAU!$A:$C,3,0)</f>
        <v>203</v>
      </c>
      <c r="F135">
        <f>VLOOKUP(A135,MAU!$A:$C,3,0)</f>
        <v>426</v>
      </c>
      <c r="G135" s="5">
        <f t="shared" si="10"/>
        <v>0.26108374384236455</v>
      </c>
      <c r="H135" s="5">
        <f t="shared" si="11"/>
        <v>0.12441314553990611</v>
      </c>
    </row>
    <row r="136" spans="1:8" x14ac:dyDescent="0.3">
      <c r="A136" s="2">
        <f t="shared" si="8"/>
        <v>11</v>
      </c>
      <c r="B136" s="2">
        <f t="shared" si="9"/>
        <v>45</v>
      </c>
      <c r="C136" s="1">
        <v>44878</v>
      </c>
      <c r="D136" s="3">
        <v>54</v>
      </c>
      <c r="E136">
        <f>VLOOKUP(B136,WAU!$A:$C,3,0)</f>
        <v>203</v>
      </c>
      <c r="F136">
        <f>VLOOKUP(A136,MAU!$A:$C,3,0)</f>
        <v>426</v>
      </c>
      <c r="G136" s="5">
        <f t="shared" si="10"/>
        <v>0.26600985221674878</v>
      </c>
      <c r="H136" s="5">
        <f t="shared" si="11"/>
        <v>0.12676056338028169</v>
      </c>
    </row>
    <row r="137" spans="1:8" x14ac:dyDescent="0.3">
      <c r="A137" s="2">
        <f t="shared" si="8"/>
        <v>11</v>
      </c>
      <c r="B137" s="2">
        <f t="shared" si="9"/>
        <v>46</v>
      </c>
      <c r="C137" s="1">
        <v>44879</v>
      </c>
      <c r="D137" s="3">
        <v>46</v>
      </c>
      <c r="E137">
        <f>VLOOKUP(B137,WAU!$A:$C,3,0)</f>
        <v>202</v>
      </c>
      <c r="F137">
        <f>VLOOKUP(A137,MAU!$A:$C,3,0)</f>
        <v>426</v>
      </c>
      <c r="G137" s="5">
        <f t="shared" si="10"/>
        <v>0.22772277227722773</v>
      </c>
      <c r="H137" s="5">
        <f t="shared" si="11"/>
        <v>0.107981220657277</v>
      </c>
    </row>
    <row r="138" spans="1:8" x14ac:dyDescent="0.3">
      <c r="A138" s="2">
        <f t="shared" si="8"/>
        <v>11</v>
      </c>
      <c r="B138" s="2">
        <f t="shared" si="9"/>
        <v>46</v>
      </c>
      <c r="C138" s="1">
        <v>44880</v>
      </c>
      <c r="D138" s="3">
        <v>55</v>
      </c>
      <c r="E138">
        <f>VLOOKUP(B138,WAU!$A:$C,3,0)</f>
        <v>202</v>
      </c>
      <c r="F138">
        <f>VLOOKUP(A138,MAU!$A:$C,3,0)</f>
        <v>426</v>
      </c>
      <c r="G138" s="5">
        <f t="shared" si="10"/>
        <v>0.2722772277227723</v>
      </c>
      <c r="H138" s="5">
        <f t="shared" si="11"/>
        <v>0.12910798122065728</v>
      </c>
    </row>
    <row r="139" spans="1:8" x14ac:dyDescent="0.3">
      <c r="A139" s="2">
        <f t="shared" si="8"/>
        <v>11</v>
      </c>
      <c r="B139" s="2">
        <f t="shared" si="9"/>
        <v>46</v>
      </c>
      <c r="C139" s="1">
        <v>44881</v>
      </c>
      <c r="D139" s="3">
        <v>51</v>
      </c>
      <c r="E139">
        <f>VLOOKUP(B139,WAU!$A:$C,3,0)</f>
        <v>202</v>
      </c>
      <c r="F139">
        <f>VLOOKUP(A139,MAU!$A:$C,3,0)</f>
        <v>426</v>
      </c>
      <c r="G139" s="5">
        <f t="shared" si="10"/>
        <v>0.25247524752475248</v>
      </c>
      <c r="H139" s="5">
        <f t="shared" si="11"/>
        <v>0.11971830985915492</v>
      </c>
    </row>
    <row r="140" spans="1:8" x14ac:dyDescent="0.3">
      <c r="A140" s="2">
        <f t="shared" si="8"/>
        <v>11</v>
      </c>
      <c r="B140" s="2">
        <f t="shared" si="9"/>
        <v>46</v>
      </c>
      <c r="C140" s="1">
        <v>44882</v>
      </c>
      <c r="D140" s="3">
        <v>58</v>
      </c>
      <c r="E140">
        <f>VLOOKUP(B140,WAU!$A:$C,3,0)</f>
        <v>202</v>
      </c>
      <c r="F140">
        <f>VLOOKUP(A140,MAU!$A:$C,3,0)</f>
        <v>426</v>
      </c>
      <c r="G140" s="5">
        <f t="shared" si="10"/>
        <v>0.28712871287128711</v>
      </c>
      <c r="H140" s="5">
        <f t="shared" si="11"/>
        <v>0.13615023474178403</v>
      </c>
    </row>
    <row r="141" spans="1:8" x14ac:dyDescent="0.3">
      <c r="A141" s="2">
        <f t="shared" si="8"/>
        <v>11</v>
      </c>
      <c r="B141" s="2">
        <f t="shared" si="9"/>
        <v>46</v>
      </c>
      <c r="C141" s="1">
        <v>44883</v>
      </c>
      <c r="D141" s="3">
        <v>51</v>
      </c>
      <c r="E141">
        <f>VLOOKUP(B141,WAU!$A:$C,3,0)</f>
        <v>202</v>
      </c>
      <c r="F141">
        <f>VLOOKUP(A141,MAU!$A:$C,3,0)</f>
        <v>426</v>
      </c>
      <c r="G141" s="5">
        <f t="shared" si="10"/>
        <v>0.25247524752475248</v>
      </c>
      <c r="H141" s="5">
        <f t="shared" si="11"/>
        <v>0.11971830985915492</v>
      </c>
    </row>
    <row r="142" spans="1:8" x14ac:dyDescent="0.3">
      <c r="A142" s="2">
        <f t="shared" si="8"/>
        <v>11</v>
      </c>
      <c r="B142" s="2">
        <f t="shared" si="9"/>
        <v>46</v>
      </c>
      <c r="C142" s="1">
        <v>44884</v>
      </c>
      <c r="D142" s="3">
        <v>40</v>
      </c>
      <c r="E142">
        <f>VLOOKUP(B142,WAU!$A:$C,3,0)</f>
        <v>202</v>
      </c>
      <c r="F142">
        <f>VLOOKUP(A142,MAU!$A:$C,3,0)</f>
        <v>426</v>
      </c>
      <c r="G142" s="5">
        <f t="shared" si="10"/>
        <v>0.19801980198019803</v>
      </c>
      <c r="H142" s="5">
        <f t="shared" si="11"/>
        <v>9.3896713615023469E-2</v>
      </c>
    </row>
    <row r="143" spans="1:8" x14ac:dyDescent="0.3">
      <c r="A143" s="2">
        <f t="shared" si="8"/>
        <v>11</v>
      </c>
      <c r="B143" s="2">
        <f t="shared" si="9"/>
        <v>46</v>
      </c>
      <c r="C143" s="1">
        <v>44885</v>
      </c>
      <c r="D143" s="3">
        <v>50</v>
      </c>
      <c r="E143">
        <f>VLOOKUP(B143,WAU!$A:$C,3,0)</f>
        <v>202</v>
      </c>
      <c r="F143">
        <f>VLOOKUP(A143,MAU!$A:$C,3,0)</f>
        <v>426</v>
      </c>
      <c r="G143" s="5">
        <f t="shared" si="10"/>
        <v>0.24752475247524752</v>
      </c>
      <c r="H143" s="5">
        <f t="shared" si="11"/>
        <v>0.11737089201877934</v>
      </c>
    </row>
    <row r="144" spans="1:8" x14ac:dyDescent="0.3">
      <c r="A144" s="2">
        <f t="shared" si="8"/>
        <v>11</v>
      </c>
      <c r="B144" s="2">
        <f t="shared" si="9"/>
        <v>47</v>
      </c>
      <c r="C144" s="1">
        <v>44886</v>
      </c>
      <c r="D144" s="3">
        <v>34</v>
      </c>
      <c r="E144">
        <f>VLOOKUP(B144,WAU!$A:$C,3,0)</f>
        <v>167</v>
      </c>
      <c r="F144">
        <f>VLOOKUP(A144,MAU!$A:$C,3,0)</f>
        <v>426</v>
      </c>
      <c r="G144" s="5">
        <f t="shared" si="10"/>
        <v>0.20359281437125748</v>
      </c>
      <c r="H144" s="5">
        <f t="shared" si="11"/>
        <v>7.9812206572769953E-2</v>
      </c>
    </row>
    <row r="145" spans="1:8" x14ac:dyDescent="0.3">
      <c r="A145" s="2">
        <f t="shared" si="8"/>
        <v>11</v>
      </c>
      <c r="B145" s="2">
        <f t="shared" si="9"/>
        <v>47</v>
      </c>
      <c r="C145" s="1">
        <v>44887</v>
      </c>
      <c r="D145" s="3">
        <v>41</v>
      </c>
      <c r="E145">
        <f>VLOOKUP(B145,WAU!$A:$C,3,0)</f>
        <v>167</v>
      </c>
      <c r="F145">
        <f>VLOOKUP(A145,MAU!$A:$C,3,0)</f>
        <v>426</v>
      </c>
      <c r="G145" s="5">
        <f t="shared" si="10"/>
        <v>0.24550898203592814</v>
      </c>
      <c r="H145" s="5">
        <f t="shared" si="11"/>
        <v>9.6244131455399062E-2</v>
      </c>
    </row>
    <row r="146" spans="1:8" x14ac:dyDescent="0.3">
      <c r="A146" s="2">
        <f t="shared" si="8"/>
        <v>11</v>
      </c>
      <c r="B146" s="2">
        <f t="shared" si="9"/>
        <v>47</v>
      </c>
      <c r="C146" s="1">
        <v>44888</v>
      </c>
      <c r="D146" s="3">
        <v>39</v>
      </c>
      <c r="E146">
        <f>VLOOKUP(B146,WAU!$A:$C,3,0)</f>
        <v>167</v>
      </c>
      <c r="F146">
        <f>VLOOKUP(A146,MAU!$A:$C,3,0)</f>
        <v>426</v>
      </c>
      <c r="G146" s="5">
        <f t="shared" si="10"/>
        <v>0.23353293413173654</v>
      </c>
      <c r="H146" s="5">
        <f t="shared" si="11"/>
        <v>9.154929577464789E-2</v>
      </c>
    </row>
    <row r="147" spans="1:8" x14ac:dyDescent="0.3">
      <c r="A147" s="2">
        <f t="shared" si="8"/>
        <v>11</v>
      </c>
      <c r="B147" s="2">
        <f t="shared" si="9"/>
        <v>47</v>
      </c>
      <c r="C147" s="1">
        <v>44889</v>
      </c>
      <c r="D147" s="3">
        <v>32</v>
      </c>
      <c r="E147">
        <f>VLOOKUP(B147,WAU!$A:$C,3,0)</f>
        <v>167</v>
      </c>
      <c r="F147">
        <f>VLOOKUP(A147,MAU!$A:$C,3,0)</f>
        <v>426</v>
      </c>
      <c r="G147" s="5">
        <f t="shared" si="10"/>
        <v>0.19161676646706588</v>
      </c>
      <c r="H147" s="5">
        <f t="shared" si="11"/>
        <v>7.5117370892018781E-2</v>
      </c>
    </row>
    <row r="148" spans="1:8" x14ac:dyDescent="0.3">
      <c r="A148" s="2">
        <f t="shared" si="8"/>
        <v>11</v>
      </c>
      <c r="B148" s="2">
        <f t="shared" si="9"/>
        <v>47</v>
      </c>
      <c r="C148" s="1">
        <v>44890</v>
      </c>
      <c r="D148" s="3">
        <v>32</v>
      </c>
      <c r="E148">
        <f>VLOOKUP(B148,WAU!$A:$C,3,0)</f>
        <v>167</v>
      </c>
      <c r="F148">
        <f>VLOOKUP(A148,MAU!$A:$C,3,0)</f>
        <v>426</v>
      </c>
      <c r="G148" s="5">
        <f t="shared" si="10"/>
        <v>0.19161676646706588</v>
      </c>
      <c r="H148" s="5">
        <f t="shared" si="11"/>
        <v>7.5117370892018781E-2</v>
      </c>
    </row>
    <row r="149" spans="1:8" x14ac:dyDescent="0.3">
      <c r="A149" s="2">
        <f t="shared" si="8"/>
        <v>11</v>
      </c>
      <c r="B149" s="2">
        <f t="shared" si="9"/>
        <v>47</v>
      </c>
      <c r="C149" s="1">
        <v>44891</v>
      </c>
      <c r="D149" s="3">
        <v>31</v>
      </c>
      <c r="E149">
        <f>VLOOKUP(B149,WAU!$A:$C,3,0)</f>
        <v>167</v>
      </c>
      <c r="F149">
        <f>VLOOKUP(A149,MAU!$A:$C,3,0)</f>
        <v>426</v>
      </c>
      <c r="G149" s="5">
        <f t="shared" si="10"/>
        <v>0.18562874251497005</v>
      </c>
      <c r="H149" s="5">
        <f t="shared" si="11"/>
        <v>7.2769953051643188E-2</v>
      </c>
    </row>
    <row r="150" spans="1:8" x14ac:dyDescent="0.3">
      <c r="A150" s="2">
        <f t="shared" si="8"/>
        <v>11</v>
      </c>
      <c r="B150" s="2">
        <f t="shared" si="9"/>
        <v>47</v>
      </c>
      <c r="C150" s="1">
        <v>44892</v>
      </c>
      <c r="D150" s="3">
        <v>35</v>
      </c>
      <c r="E150">
        <f>VLOOKUP(B150,WAU!$A:$C,3,0)</f>
        <v>167</v>
      </c>
      <c r="F150">
        <f>VLOOKUP(A150,MAU!$A:$C,3,0)</f>
        <v>426</v>
      </c>
      <c r="G150" s="5">
        <f t="shared" si="10"/>
        <v>0.20958083832335328</v>
      </c>
      <c r="H150" s="5">
        <f t="shared" si="11"/>
        <v>8.2159624413145546E-2</v>
      </c>
    </row>
    <row r="151" spans="1:8" x14ac:dyDescent="0.3">
      <c r="A151" s="2">
        <f t="shared" si="8"/>
        <v>11</v>
      </c>
      <c r="B151" s="2">
        <f t="shared" si="9"/>
        <v>48</v>
      </c>
      <c r="C151" s="1">
        <v>44893</v>
      </c>
      <c r="D151" s="3">
        <v>32</v>
      </c>
      <c r="E151">
        <f>VLOOKUP(B151,WAU!$A:$C,3,0)</f>
        <v>157</v>
      </c>
      <c r="F151">
        <f>VLOOKUP(A151,MAU!$A:$C,3,0)</f>
        <v>426</v>
      </c>
      <c r="G151" s="5">
        <f t="shared" si="10"/>
        <v>0.20382165605095542</v>
      </c>
      <c r="H151" s="5">
        <f t="shared" si="11"/>
        <v>7.5117370892018781E-2</v>
      </c>
    </row>
    <row r="152" spans="1:8" x14ac:dyDescent="0.3">
      <c r="A152" s="2">
        <f t="shared" si="8"/>
        <v>11</v>
      </c>
      <c r="B152" s="2">
        <f t="shared" si="9"/>
        <v>48</v>
      </c>
      <c r="C152" s="1">
        <v>44894</v>
      </c>
      <c r="D152" s="3">
        <v>23</v>
      </c>
      <c r="E152">
        <f>VLOOKUP(B152,WAU!$A:$C,3,0)</f>
        <v>157</v>
      </c>
      <c r="F152">
        <f>VLOOKUP(A152,MAU!$A:$C,3,0)</f>
        <v>426</v>
      </c>
      <c r="G152" s="5">
        <f t="shared" si="10"/>
        <v>0.1464968152866242</v>
      </c>
      <c r="H152" s="5">
        <f t="shared" si="11"/>
        <v>5.39906103286385E-2</v>
      </c>
    </row>
    <row r="153" spans="1:8" x14ac:dyDescent="0.3">
      <c r="A153" s="2">
        <f t="shared" si="8"/>
        <v>11</v>
      </c>
      <c r="B153" s="2">
        <f t="shared" si="9"/>
        <v>48</v>
      </c>
      <c r="C153" s="1">
        <v>44895</v>
      </c>
      <c r="D153" s="3">
        <v>35</v>
      </c>
      <c r="E153">
        <f>VLOOKUP(B153,WAU!$A:$C,3,0)</f>
        <v>157</v>
      </c>
      <c r="F153">
        <f>VLOOKUP(A153,MAU!$A:$C,3,0)</f>
        <v>426</v>
      </c>
      <c r="G153" s="5">
        <f t="shared" si="10"/>
        <v>0.22292993630573249</v>
      </c>
      <c r="H153" s="5">
        <f t="shared" si="11"/>
        <v>8.2159624413145546E-2</v>
      </c>
    </row>
    <row r="154" spans="1:8" x14ac:dyDescent="0.3">
      <c r="A154" s="2">
        <f t="shared" si="8"/>
        <v>12</v>
      </c>
      <c r="B154" s="2">
        <f t="shared" si="9"/>
        <v>48</v>
      </c>
      <c r="C154" s="1">
        <v>44896</v>
      </c>
      <c r="D154" s="3">
        <v>32</v>
      </c>
      <c r="E154">
        <f>VLOOKUP(B154,WAU!$A:$C,3,0)</f>
        <v>157</v>
      </c>
      <c r="F154">
        <f>VLOOKUP(A154,MAU!$A:$C,3,0)</f>
        <v>390</v>
      </c>
      <c r="G154" s="5">
        <f t="shared" si="10"/>
        <v>0.20382165605095542</v>
      </c>
      <c r="H154" s="5">
        <f t="shared" si="11"/>
        <v>8.2051282051282051E-2</v>
      </c>
    </row>
    <row r="155" spans="1:8" x14ac:dyDescent="0.3">
      <c r="A155" s="2">
        <f t="shared" si="8"/>
        <v>12</v>
      </c>
      <c r="B155" s="2">
        <f t="shared" si="9"/>
        <v>48</v>
      </c>
      <c r="C155" s="1">
        <v>44897</v>
      </c>
      <c r="D155" s="3">
        <v>25</v>
      </c>
      <c r="E155">
        <f>VLOOKUP(B155,WAU!$A:$C,3,0)</f>
        <v>157</v>
      </c>
      <c r="F155">
        <f>VLOOKUP(A155,MAU!$A:$C,3,0)</f>
        <v>390</v>
      </c>
      <c r="G155" s="5">
        <f t="shared" si="10"/>
        <v>0.15923566878980891</v>
      </c>
      <c r="H155" s="5">
        <f t="shared" si="11"/>
        <v>6.4102564102564097E-2</v>
      </c>
    </row>
    <row r="156" spans="1:8" x14ac:dyDescent="0.3">
      <c r="A156" s="2">
        <f t="shared" si="8"/>
        <v>12</v>
      </c>
      <c r="B156" s="2">
        <f t="shared" si="9"/>
        <v>48</v>
      </c>
      <c r="C156" s="1">
        <v>44898</v>
      </c>
      <c r="D156" s="3">
        <v>19</v>
      </c>
      <c r="E156">
        <f>VLOOKUP(B156,WAU!$A:$C,3,0)</f>
        <v>157</v>
      </c>
      <c r="F156">
        <f>VLOOKUP(A156,MAU!$A:$C,3,0)</f>
        <v>390</v>
      </c>
      <c r="G156" s="5">
        <f t="shared" si="10"/>
        <v>0.12101910828025478</v>
      </c>
      <c r="H156" s="5">
        <f t="shared" si="11"/>
        <v>4.8717948717948718E-2</v>
      </c>
    </row>
    <row r="157" spans="1:8" x14ac:dyDescent="0.3">
      <c r="A157" s="2">
        <f t="shared" si="8"/>
        <v>12</v>
      </c>
      <c r="B157" s="2">
        <f t="shared" si="9"/>
        <v>48</v>
      </c>
      <c r="C157" s="1">
        <v>44899</v>
      </c>
      <c r="D157" s="3">
        <v>30</v>
      </c>
      <c r="E157">
        <f>VLOOKUP(B157,WAU!$A:$C,3,0)</f>
        <v>157</v>
      </c>
      <c r="F157">
        <f>VLOOKUP(A157,MAU!$A:$C,3,0)</f>
        <v>390</v>
      </c>
      <c r="G157" s="5">
        <f t="shared" si="10"/>
        <v>0.19108280254777071</v>
      </c>
      <c r="H157" s="5">
        <f t="shared" si="11"/>
        <v>7.6923076923076927E-2</v>
      </c>
    </row>
    <row r="158" spans="1:8" x14ac:dyDescent="0.3">
      <c r="A158" s="2">
        <f t="shared" si="8"/>
        <v>12</v>
      </c>
      <c r="B158" s="2">
        <f t="shared" si="9"/>
        <v>49</v>
      </c>
      <c r="C158" s="1">
        <v>44900</v>
      </c>
      <c r="D158" s="3">
        <v>23</v>
      </c>
      <c r="E158">
        <f>VLOOKUP(B158,WAU!$A:$C,3,0)</f>
        <v>156</v>
      </c>
      <c r="F158">
        <f>VLOOKUP(A158,MAU!$A:$C,3,0)</f>
        <v>390</v>
      </c>
      <c r="G158" s="5">
        <f t="shared" si="10"/>
        <v>0.14743589743589744</v>
      </c>
      <c r="H158" s="5">
        <f t="shared" si="11"/>
        <v>5.8974358974358973E-2</v>
      </c>
    </row>
    <row r="159" spans="1:8" x14ac:dyDescent="0.3">
      <c r="A159" s="2">
        <f t="shared" si="8"/>
        <v>12</v>
      </c>
      <c r="B159" s="2">
        <f t="shared" si="9"/>
        <v>49</v>
      </c>
      <c r="C159" s="1">
        <v>44901</v>
      </c>
      <c r="D159" s="3">
        <v>32</v>
      </c>
      <c r="E159">
        <f>VLOOKUP(B159,WAU!$A:$C,3,0)</f>
        <v>156</v>
      </c>
      <c r="F159">
        <f>VLOOKUP(A159,MAU!$A:$C,3,0)</f>
        <v>390</v>
      </c>
      <c r="G159" s="5">
        <f t="shared" si="10"/>
        <v>0.20512820512820512</v>
      </c>
      <c r="H159" s="5">
        <f t="shared" si="11"/>
        <v>8.2051282051282051E-2</v>
      </c>
    </row>
    <row r="160" spans="1:8" x14ac:dyDescent="0.3">
      <c r="A160" s="2">
        <f t="shared" si="8"/>
        <v>12</v>
      </c>
      <c r="B160" s="2">
        <f t="shared" si="9"/>
        <v>49</v>
      </c>
      <c r="C160" s="1">
        <v>44902</v>
      </c>
      <c r="D160" s="3">
        <v>35</v>
      </c>
      <c r="E160">
        <f>VLOOKUP(B160,WAU!$A:$C,3,0)</f>
        <v>156</v>
      </c>
      <c r="F160">
        <f>VLOOKUP(A160,MAU!$A:$C,3,0)</f>
        <v>390</v>
      </c>
      <c r="G160" s="5">
        <f t="shared" si="10"/>
        <v>0.22435897435897437</v>
      </c>
      <c r="H160" s="5">
        <f t="shared" si="11"/>
        <v>8.9743589743589744E-2</v>
      </c>
    </row>
    <row r="161" spans="1:8" x14ac:dyDescent="0.3">
      <c r="A161" s="2">
        <f t="shared" si="8"/>
        <v>12</v>
      </c>
      <c r="B161" s="2">
        <f t="shared" si="9"/>
        <v>49</v>
      </c>
      <c r="C161" s="1">
        <v>44903</v>
      </c>
      <c r="D161" s="3">
        <v>29</v>
      </c>
      <c r="E161">
        <f>VLOOKUP(B161,WAU!$A:$C,3,0)</f>
        <v>156</v>
      </c>
      <c r="F161">
        <f>VLOOKUP(A161,MAU!$A:$C,3,0)</f>
        <v>390</v>
      </c>
      <c r="G161" s="5">
        <f t="shared" si="10"/>
        <v>0.1858974358974359</v>
      </c>
      <c r="H161" s="5">
        <f t="shared" si="11"/>
        <v>7.4358974358974358E-2</v>
      </c>
    </row>
    <row r="162" spans="1:8" x14ac:dyDescent="0.3">
      <c r="A162" s="2">
        <f t="shared" si="8"/>
        <v>12</v>
      </c>
      <c r="B162" s="2">
        <f t="shared" si="9"/>
        <v>49</v>
      </c>
      <c r="C162" s="1">
        <v>44904</v>
      </c>
      <c r="D162" s="3">
        <v>36</v>
      </c>
      <c r="E162">
        <f>VLOOKUP(B162,WAU!$A:$C,3,0)</f>
        <v>156</v>
      </c>
      <c r="F162">
        <f>VLOOKUP(A162,MAU!$A:$C,3,0)</f>
        <v>390</v>
      </c>
      <c r="G162" s="5">
        <f t="shared" si="10"/>
        <v>0.23076923076923078</v>
      </c>
      <c r="H162" s="5">
        <f t="shared" si="11"/>
        <v>9.2307692307692313E-2</v>
      </c>
    </row>
    <row r="163" spans="1:8" x14ac:dyDescent="0.3">
      <c r="A163" s="2">
        <f t="shared" si="8"/>
        <v>12</v>
      </c>
      <c r="B163" s="2">
        <f t="shared" si="9"/>
        <v>49</v>
      </c>
      <c r="C163" s="1">
        <v>44905</v>
      </c>
      <c r="D163" s="3">
        <v>30</v>
      </c>
      <c r="E163">
        <f>VLOOKUP(B163,WAU!$A:$C,3,0)</f>
        <v>156</v>
      </c>
      <c r="F163">
        <f>VLOOKUP(A163,MAU!$A:$C,3,0)</f>
        <v>390</v>
      </c>
      <c r="G163" s="5">
        <f t="shared" si="10"/>
        <v>0.19230769230769232</v>
      </c>
      <c r="H163" s="5">
        <f t="shared" si="11"/>
        <v>7.6923076923076927E-2</v>
      </c>
    </row>
    <row r="164" spans="1:8" x14ac:dyDescent="0.3">
      <c r="A164" s="2">
        <f t="shared" si="8"/>
        <v>12</v>
      </c>
      <c r="B164" s="2">
        <f t="shared" si="9"/>
        <v>49</v>
      </c>
      <c r="C164" s="1">
        <v>44906</v>
      </c>
      <c r="D164" s="3">
        <v>25</v>
      </c>
      <c r="E164">
        <f>VLOOKUP(B164,WAU!$A:$C,3,0)</f>
        <v>156</v>
      </c>
      <c r="F164">
        <f>VLOOKUP(A164,MAU!$A:$C,3,0)</f>
        <v>390</v>
      </c>
      <c r="G164" s="5">
        <f t="shared" si="10"/>
        <v>0.16025641025641027</v>
      </c>
      <c r="H164" s="5">
        <f t="shared" si="11"/>
        <v>6.4102564102564097E-2</v>
      </c>
    </row>
    <row r="165" spans="1:8" x14ac:dyDescent="0.3">
      <c r="A165" s="2">
        <f t="shared" si="8"/>
        <v>12</v>
      </c>
      <c r="B165" s="2">
        <f t="shared" si="9"/>
        <v>50</v>
      </c>
      <c r="C165" s="1">
        <v>44907</v>
      </c>
      <c r="D165" s="3">
        <v>31</v>
      </c>
      <c r="E165">
        <f>VLOOKUP(B165,WAU!$A:$C,3,0)</f>
        <v>153</v>
      </c>
      <c r="F165">
        <f>VLOOKUP(A165,MAU!$A:$C,3,0)</f>
        <v>390</v>
      </c>
      <c r="G165" s="5">
        <f t="shared" si="10"/>
        <v>0.20261437908496732</v>
      </c>
      <c r="H165" s="5">
        <f t="shared" si="11"/>
        <v>7.9487179487179482E-2</v>
      </c>
    </row>
    <row r="166" spans="1:8" x14ac:dyDescent="0.3">
      <c r="A166" s="2">
        <f t="shared" si="8"/>
        <v>12</v>
      </c>
      <c r="B166" s="2">
        <f t="shared" si="9"/>
        <v>50</v>
      </c>
      <c r="C166" s="1">
        <v>44908</v>
      </c>
      <c r="D166" s="3">
        <v>34</v>
      </c>
      <c r="E166">
        <f>VLOOKUP(B166,WAU!$A:$C,3,0)</f>
        <v>153</v>
      </c>
      <c r="F166">
        <f>VLOOKUP(A166,MAU!$A:$C,3,0)</f>
        <v>390</v>
      </c>
      <c r="G166" s="5">
        <f t="shared" si="10"/>
        <v>0.22222222222222221</v>
      </c>
      <c r="H166" s="5">
        <f t="shared" si="11"/>
        <v>8.7179487179487175E-2</v>
      </c>
    </row>
    <row r="167" spans="1:8" x14ac:dyDescent="0.3">
      <c r="A167" s="2">
        <f t="shared" si="8"/>
        <v>12</v>
      </c>
      <c r="B167" s="2">
        <f t="shared" si="9"/>
        <v>50</v>
      </c>
      <c r="C167" s="1">
        <v>44909</v>
      </c>
      <c r="D167" s="3">
        <v>22</v>
      </c>
      <c r="E167">
        <f>VLOOKUP(B167,WAU!$A:$C,3,0)</f>
        <v>153</v>
      </c>
      <c r="F167">
        <f>VLOOKUP(A167,MAU!$A:$C,3,0)</f>
        <v>390</v>
      </c>
      <c r="G167" s="5">
        <f t="shared" si="10"/>
        <v>0.1437908496732026</v>
      </c>
      <c r="H167" s="5">
        <f t="shared" si="11"/>
        <v>5.6410256410256411E-2</v>
      </c>
    </row>
    <row r="168" spans="1:8" x14ac:dyDescent="0.3">
      <c r="A168" s="2">
        <f t="shared" si="8"/>
        <v>12</v>
      </c>
      <c r="B168" s="2">
        <f t="shared" si="9"/>
        <v>50</v>
      </c>
      <c r="C168" s="1">
        <v>44910</v>
      </c>
      <c r="D168" s="3">
        <v>26</v>
      </c>
      <c r="E168">
        <f>VLOOKUP(B168,WAU!$A:$C,3,0)</f>
        <v>153</v>
      </c>
      <c r="F168">
        <f>VLOOKUP(A168,MAU!$A:$C,3,0)</f>
        <v>390</v>
      </c>
      <c r="G168" s="5">
        <f t="shared" si="10"/>
        <v>0.16993464052287582</v>
      </c>
      <c r="H168" s="5">
        <f t="shared" si="11"/>
        <v>6.6666666666666666E-2</v>
      </c>
    </row>
    <row r="169" spans="1:8" x14ac:dyDescent="0.3">
      <c r="A169" s="2">
        <f t="shared" si="8"/>
        <v>12</v>
      </c>
      <c r="B169" s="2">
        <f t="shared" si="9"/>
        <v>50</v>
      </c>
      <c r="C169" s="1">
        <v>44911</v>
      </c>
      <c r="D169" s="3">
        <v>27</v>
      </c>
      <c r="E169">
        <f>VLOOKUP(B169,WAU!$A:$C,3,0)</f>
        <v>153</v>
      </c>
      <c r="F169">
        <f>VLOOKUP(A169,MAU!$A:$C,3,0)</f>
        <v>390</v>
      </c>
      <c r="G169" s="5">
        <f t="shared" si="10"/>
        <v>0.17647058823529413</v>
      </c>
      <c r="H169" s="5">
        <f t="shared" si="11"/>
        <v>6.9230769230769235E-2</v>
      </c>
    </row>
    <row r="170" spans="1:8" x14ac:dyDescent="0.3">
      <c r="A170" s="2">
        <f t="shared" si="8"/>
        <v>12</v>
      </c>
      <c r="B170" s="2">
        <f t="shared" si="9"/>
        <v>50</v>
      </c>
      <c r="C170" s="1">
        <v>44912</v>
      </c>
      <c r="D170" s="3">
        <v>28</v>
      </c>
      <c r="E170">
        <f>VLOOKUP(B170,WAU!$A:$C,3,0)</f>
        <v>153</v>
      </c>
      <c r="F170">
        <f>VLOOKUP(A170,MAU!$A:$C,3,0)</f>
        <v>390</v>
      </c>
      <c r="G170" s="5">
        <f t="shared" si="10"/>
        <v>0.18300653594771241</v>
      </c>
      <c r="H170" s="5">
        <f t="shared" si="11"/>
        <v>7.179487179487179E-2</v>
      </c>
    </row>
    <row r="171" spans="1:8" x14ac:dyDescent="0.3">
      <c r="A171" s="2">
        <f t="shared" si="8"/>
        <v>12</v>
      </c>
      <c r="B171" s="2">
        <f t="shared" si="9"/>
        <v>50</v>
      </c>
      <c r="C171" s="1">
        <v>44913</v>
      </c>
      <c r="D171" s="3">
        <v>20</v>
      </c>
      <c r="E171">
        <f>VLOOKUP(B171,WAU!$A:$C,3,0)</f>
        <v>153</v>
      </c>
      <c r="F171">
        <f>VLOOKUP(A171,MAU!$A:$C,3,0)</f>
        <v>390</v>
      </c>
      <c r="G171" s="5">
        <f t="shared" si="10"/>
        <v>0.13071895424836602</v>
      </c>
      <c r="H171" s="5">
        <f t="shared" si="11"/>
        <v>5.128205128205128E-2</v>
      </c>
    </row>
    <row r="172" spans="1:8" x14ac:dyDescent="0.3">
      <c r="A172" s="2">
        <f t="shared" si="8"/>
        <v>12</v>
      </c>
      <c r="B172" s="2">
        <f t="shared" si="9"/>
        <v>51</v>
      </c>
      <c r="C172" s="1">
        <v>44914</v>
      </c>
      <c r="D172" s="3">
        <v>32</v>
      </c>
      <c r="E172">
        <f>VLOOKUP(B172,WAU!$A:$C,3,0)</f>
        <v>145</v>
      </c>
      <c r="F172">
        <f>VLOOKUP(A172,MAU!$A:$C,3,0)</f>
        <v>390</v>
      </c>
      <c r="G172" s="5">
        <f t="shared" si="10"/>
        <v>0.22068965517241379</v>
      </c>
      <c r="H172" s="5">
        <f t="shared" si="11"/>
        <v>8.2051282051282051E-2</v>
      </c>
    </row>
    <row r="173" spans="1:8" x14ac:dyDescent="0.3">
      <c r="A173" s="2">
        <f t="shared" si="8"/>
        <v>12</v>
      </c>
      <c r="B173" s="2">
        <f t="shared" si="9"/>
        <v>51</v>
      </c>
      <c r="C173" s="1">
        <v>44915</v>
      </c>
      <c r="D173" s="3">
        <v>28</v>
      </c>
      <c r="E173">
        <f>VLOOKUP(B173,WAU!$A:$C,3,0)</f>
        <v>145</v>
      </c>
      <c r="F173">
        <f>VLOOKUP(A173,MAU!$A:$C,3,0)</f>
        <v>390</v>
      </c>
      <c r="G173" s="5">
        <f t="shared" si="10"/>
        <v>0.19310344827586207</v>
      </c>
      <c r="H173" s="5">
        <f t="shared" si="11"/>
        <v>7.179487179487179E-2</v>
      </c>
    </row>
    <row r="174" spans="1:8" x14ac:dyDescent="0.3">
      <c r="A174" s="2">
        <f t="shared" si="8"/>
        <v>12</v>
      </c>
      <c r="B174" s="2">
        <f t="shared" si="9"/>
        <v>51</v>
      </c>
      <c r="C174" s="1">
        <v>44916</v>
      </c>
      <c r="D174" s="3">
        <v>28</v>
      </c>
      <c r="E174">
        <f>VLOOKUP(B174,WAU!$A:$C,3,0)</f>
        <v>145</v>
      </c>
      <c r="F174">
        <f>VLOOKUP(A174,MAU!$A:$C,3,0)</f>
        <v>390</v>
      </c>
      <c r="G174" s="5">
        <f t="shared" si="10"/>
        <v>0.19310344827586207</v>
      </c>
      <c r="H174" s="5">
        <f t="shared" si="11"/>
        <v>7.179487179487179E-2</v>
      </c>
    </row>
    <row r="175" spans="1:8" x14ac:dyDescent="0.3">
      <c r="A175" s="2">
        <f t="shared" si="8"/>
        <v>12</v>
      </c>
      <c r="B175" s="2">
        <f t="shared" si="9"/>
        <v>51</v>
      </c>
      <c r="C175" s="1">
        <v>44917</v>
      </c>
      <c r="D175" s="3">
        <v>29</v>
      </c>
      <c r="E175">
        <f>VLOOKUP(B175,WAU!$A:$C,3,0)</f>
        <v>145</v>
      </c>
      <c r="F175">
        <f>VLOOKUP(A175,MAU!$A:$C,3,0)</f>
        <v>390</v>
      </c>
      <c r="G175" s="5">
        <f t="shared" si="10"/>
        <v>0.2</v>
      </c>
      <c r="H175" s="5">
        <f t="shared" si="11"/>
        <v>7.4358974358974358E-2</v>
      </c>
    </row>
    <row r="176" spans="1:8" x14ac:dyDescent="0.3">
      <c r="A176" s="2">
        <f t="shared" si="8"/>
        <v>12</v>
      </c>
      <c r="B176" s="2">
        <f t="shared" si="9"/>
        <v>51</v>
      </c>
      <c r="C176" s="1">
        <v>44918</v>
      </c>
      <c r="D176" s="3">
        <v>36</v>
      </c>
      <c r="E176">
        <f>VLOOKUP(B176,WAU!$A:$C,3,0)</f>
        <v>145</v>
      </c>
      <c r="F176">
        <f>VLOOKUP(A176,MAU!$A:$C,3,0)</f>
        <v>390</v>
      </c>
      <c r="G176" s="5">
        <f t="shared" si="10"/>
        <v>0.24827586206896551</v>
      </c>
      <c r="H176" s="5">
        <f t="shared" si="11"/>
        <v>9.2307692307692313E-2</v>
      </c>
    </row>
    <row r="177" spans="1:8" x14ac:dyDescent="0.3">
      <c r="A177" s="2">
        <f t="shared" si="8"/>
        <v>12</v>
      </c>
      <c r="B177" s="2">
        <f t="shared" si="9"/>
        <v>51</v>
      </c>
      <c r="C177" s="1">
        <v>44919</v>
      </c>
      <c r="D177" s="3">
        <v>24</v>
      </c>
      <c r="E177">
        <f>VLOOKUP(B177,WAU!$A:$C,3,0)</f>
        <v>145</v>
      </c>
      <c r="F177">
        <f>VLOOKUP(A177,MAU!$A:$C,3,0)</f>
        <v>390</v>
      </c>
      <c r="G177" s="5">
        <f t="shared" si="10"/>
        <v>0.16551724137931034</v>
      </c>
      <c r="H177" s="5">
        <f t="shared" si="11"/>
        <v>6.1538461538461542E-2</v>
      </c>
    </row>
    <row r="178" spans="1:8" x14ac:dyDescent="0.3">
      <c r="A178" s="2">
        <f t="shared" si="8"/>
        <v>12</v>
      </c>
      <c r="B178" s="2">
        <f t="shared" si="9"/>
        <v>51</v>
      </c>
      <c r="C178" s="1">
        <v>44920</v>
      </c>
      <c r="D178" s="3">
        <v>33</v>
      </c>
      <c r="E178">
        <f>VLOOKUP(B178,WAU!$A:$C,3,0)</f>
        <v>145</v>
      </c>
      <c r="F178">
        <f>VLOOKUP(A178,MAU!$A:$C,3,0)</f>
        <v>390</v>
      </c>
      <c r="G178" s="5">
        <f t="shared" si="10"/>
        <v>0.22758620689655173</v>
      </c>
      <c r="H178" s="5">
        <f t="shared" si="11"/>
        <v>8.461538461538462E-2</v>
      </c>
    </row>
    <row r="179" spans="1:8" x14ac:dyDescent="0.3">
      <c r="A179" s="2">
        <f t="shared" si="8"/>
        <v>12</v>
      </c>
      <c r="B179" s="2">
        <f t="shared" si="9"/>
        <v>52</v>
      </c>
      <c r="C179" s="1">
        <v>44921</v>
      </c>
      <c r="D179" s="3">
        <v>26</v>
      </c>
      <c r="E179">
        <f>VLOOKUP(B179,WAU!$A:$C,3,0)</f>
        <v>141</v>
      </c>
      <c r="F179">
        <f>VLOOKUP(A179,MAU!$A:$C,3,0)</f>
        <v>390</v>
      </c>
      <c r="G179" s="5">
        <f t="shared" si="10"/>
        <v>0.18439716312056736</v>
      </c>
      <c r="H179" s="5">
        <f t="shared" si="11"/>
        <v>6.6666666666666666E-2</v>
      </c>
    </row>
    <row r="180" spans="1:8" x14ac:dyDescent="0.3">
      <c r="A180" s="2">
        <f t="shared" si="8"/>
        <v>12</v>
      </c>
      <c r="B180" s="2">
        <f t="shared" si="9"/>
        <v>52</v>
      </c>
      <c r="C180" s="1">
        <v>44922</v>
      </c>
      <c r="D180" s="3">
        <v>24</v>
      </c>
      <c r="E180">
        <f>VLOOKUP(B180,WAU!$A:$C,3,0)</f>
        <v>141</v>
      </c>
      <c r="F180">
        <f>VLOOKUP(A180,MAU!$A:$C,3,0)</f>
        <v>390</v>
      </c>
      <c r="G180" s="5">
        <f t="shared" si="10"/>
        <v>0.1702127659574468</v>
      </c>
      <c r="H180" s="5">
        <f t="shared" si="11"/>
        <v>6.1538461538461542E-2</v>
      </c>
    </row>
    <row r="181" spans="1:8" x14ac:dyDescent="0.3">
      <c r="A181" s="2">
        <f t="shared" si="8"/>
        <v>12</v>
      </c>
      <c r="B181" s="2">
        <f t="shared" si="9"/>
        <v>52</v>
      </c>
      <c r="C181" s="1">
        <v>44923</v>
      </c>
      <c r="D181" s="3">
        <v>32</v>
      </c>
      <c r="E181">
        <f>VLOOKUP(B181,WAU!$A:$C,3,0)</f>
        <v>141</v>
      </c>
      <c r="F181">
        <f>VLOOKUP(A181,MAU!$A:$C,3,0)</f>
        <v>390</v>
      </c>
      <c r="G181" s="5">
        <f t="shared" si="10"/>
        <v>0.22695035460992907</v>
      </c>
      <c r="H181" s="5">
        <f t="shared" si="11"/>
        <v>8.2051282051282051E-2</v>
      </c>
    </row>
    <row r="182" spans="1:8" x14ac:dyDescent="0.3">
      <c r="A182" s="2">
        <f t="shared" si="8"/>
        <v>12</v>
      </c>
      <c r="B182" s="2">
        <f t="shared" si="9"/>
        <v>52</v>
      </c>
      <c r="C182" s="1">
        <v>44924</v>
      </c>
      <c r="D182" s="3">
        <v>29</v>
      </c>
      <c r="E182">
        <f>VLOOKUP(B182,WAU!$A:$C,3,0)</f>
        <v>141</v>
      </c>
      <c r="F182">
        <f>VLOOKUP(A182,MAU!$A:$C,3,0)</f>
        <v>390</v>
      </c>
      <c r="G182" s="5">
        <f t="shared" si="10"/>
        <v>0.20567375886524822</v>
      </c>
      <c r="H182" s="5">
        <f t="shared" si="11"/>
        <v>7.4358974358974358E-2</v>
      </c>
    </row>
    <row r="183" spans="1:8" x14ac:dyDescent="0.3">
      <c r="A183" s="2">
        <f t="shared" si="8"/>
        <v>12</v>
      </c>
      <c r="B183" s="2">
        <f t="shared" si="9"/>
        <v>52</v>
      </c>
      <c r="C183" s="1">
        <v>44925</v>
      </c>
      <c r="D183" s="3">
        <v>22</v>
      </c>
      <c r="E183">
        <f>VLOOKUP(B183,WAU!$A:$C,3,0)</f>
        <v>141</v>
      </c>
      <c r="F183">
        <f>VLOOKUP(A183,MAU!$A:$C,3,0)</f>
        <v>390</v>
      </c>
      <c r="G183" s="5">
        <f t="shared" si="10"/>
        <v>0.15602836879432624</v>
      </c>
      <c r="H183" s="5">
        <f t="shared" si="11"/>
        <v>5.6410256410256411E-2</v>
      </c>
    </row>
    <row r="184" spans="1:8" x14ac:dyDescent="0.3">
      <c r="A184" s="2">
        <f t="shared" si="8"/>
        <v>12</v>
      </c>
      <c r="B184" s="2">
        <f t="shared" si="9"/>
        <v>52</v>
      </c>
      <c r="C184" s="1">
        <v>44926</v>
      </c>
      <c r="D184" s="3">
        <v>37</v>
      </c>
      <c r="E184">
        <f>VLOOKUP(B184,WAU!$A:$C,3,0)</f>
        <v>141</v>
      </c>
      <c r="F184">
        <f>VLOOKUP(A184,MAU!$A:$C,3,0)</f>
        <v>390</v>
      </c>
      <c r="G184" s="5">
        <f t="shared" si="10"/>
        <v>0.26241134751773049</v>
      </c>
      <c r="H184" s="5">
        <f t="shared" si="11"/>
        <v>9.4871794871794868E-2</v>
      </c>
    </row>
    <row r="185" spans="1:8" x14ac:dyDescent="0.3">
      <c r="A185" s="2">
        <f t="shared" si="8"/>
        <v>1</v>
      </c>
      <c r="B185" s="2">
        <f t="shared" si="9"/>
        <v>52</v>
      </c>
      <c r="C185" s="1">
        <v>44927</v>
      </c>
      <c r="D185" s="3">
        <v>24</v>
      </c>
      <c r="E185">
        <f>VLOOKUP(B185,WAU!$A:$C,3,0)</f>
        <v>141</v>
      </c>
      <c r="F185">
        <f>VLOOKUP(A185,MAU!$A:$C,3,0)</f>
        <v>536</v>
      </c>
      <c r="G185" s="5">
        <f t="shared" si="10"/>
        <v>0.1702127659574468</v>
      </c>
      <c r="H185" s="5">
        <f t="shared" si="11"/>
        <v>4.4776119402985072E-2</v>
      </c>
    </row>
    <row r="186" spans="1:8" x14ac:dyDescent="0.3">
      <c r="A186" s="2">
        <f t="shared" si="8"/>
        <v>1</v>
      </c>
      <c r="B186" s="2">
        <f t="shared" si="9"/>
        <v>1</v>
      </c>
      <c r="C186" s="1">
        <v>44928</v>
      </c>
      <c r="D186" s="3">
        <v>35</v>
      </c>
      <c r="E186">
        <f>VLOOKUP(B186,WAU!$A:$C,3,0)</f>
        <v>190</v>
      </c>
      <c r="F186">
        <f>VLOOKUP(A186,MAU!$A:$C,3,0)</f>
        <v>536</v>
      </c>
      <c r="G186" s="5">
        <f t="shared" si="10"/>
        <v>0.18421052631578946</v>
      </c>
      <c r="H186" s="5">
        <f t="shared" si="11"/>
        <v>6.5298507462686561E-2</v>
      </c>
    </row>
    <row r="187" spans="1:8" x14ac:dyDescent="0.3">
      <c r="A187" s="2">
        <f t="shared" si="8"/>
        <v>1</v>
      </c>
      <c r="B187" s="2">
        <f t="shared" si="9"/>
        <v>1</v>
      </c>
      <c r="C187" s="1">
        <v>44929</v>
      </c>
      <c r="D187" s="3">
        <v>40</v>
      </c>
      <c r="E187">
        <f>VLOOKUP(B187,WAU!$A:$C,3,0)</f>
        <v>190</v>
      </c>
      <c r="F187">
        <f>VLOOKUP(A187,MAU!$A:$C,3,0)</f>
        <v>536</v>
      </c>
      <c r="G187" s="5">
        <f t="shared" si="10"/>
        <v>0.21052631578947367</v>
      </c>
      <c r="H187" s="5">
        <f t="shared" si="11"/>
        <v>7.4626865671641784E-2</v>
      </c>
    </row>
    <row r="188" spans="1:8" x14ac:dyDescent="0.3">
      <c r="A188" s="2">
        <f t="shared" si="8"/>
        <v>1</v>
      </c>
      <c r="B188" s="2">
        <f t="shared" si="9"/>
        <v>1</v>
      </c>
      <c r="C188" s="1">
        <v>44930</v>
      </c>
      <c r="D188" s="3">
        <v>46</v>
      </c>
      <c r="E188">
        <f>VLOOKUP(B188,WAU!$A:$C,3,0)</f>
        <v>190</v>
      </c>
      <c r="F188">
        <f>VLOOKUP(A188,MAU!$A:$C,3,0)</f>
        <v>536</v>
      </c>
      <c r="G188" s="5">
        <f t="shared" si="10"/>
        <v>0.24210526315789474</v>
      </c>
      <c r="H188" s="5">
        <f t="shared" si="11"/>
        <v>8.5820895522388058E-2</v>
      </c>
    </row>
    <row r="189" spans="1:8" x14ac:dyDescent="0.3">
      <c r="A189" s="2">
        <f t="shared" si="8"/>
        <v>1</v>
      </c>
      <c r="B189" s="2">
        <f t="shared" si="9"/>
        <v>1</v>
      </c>
      <c r="C189" s="1">
        <v>44931</v>
      </c>
      <c r="D189" s="3">
        <v>36</v>
      </c>
      <c r="E189">
        <f>VLOOKUP(B189,WAU!$A:$C,3,0)</f>
        <v>190</v>
      </c>
      <c r="F189">
        <f>VLOOKUP(A189,MAU!$A:$C,3,0)</f>
        <v>536</v>
      </c>
      <c r="G189" s="5">
        <f t="shared" si="10"/>
        <v>0.18947368421052632</v>
      </c>
      <c r="H189" s="5">
        <f t="shared" si="11"/>
        <v>6.7164179104477612E-2</v>
      </c>
    </row>
    <row r="190" spans="1:8" x14ac:dyDescent="0.3">
      <c r="A190" s="2">
        <f t="shared" si="8"/>
        <v>1</v>
      </c>
      <c r="B190" s="2">
        <f t="shared" si="9"/>
        <v>1</v>
      </c>
      <c r="C190" s="1">
        <v>44932</v>
      </c>
      <c r="D190" s="3">
        <v>46</v>
      </c>
      <c r="E190">
        <f>VLOOKUP(B190,WAU!$A:$C,3,0)</f>
        <v>190</v>
      </c>
      <c r="F190">
        <f>VLOOKUP(A190,MAU!$A:$C,3,0)</f>
        <v>536</v>
      </c>
      <c r="G190" s="5">
        <f t="shared" si="10"/>
        <v>0.24210526315789474</v>
      </c>
      <c r="H190" s="5">
        <f t="shared" si="11"/>
        <v>8.5820895522388058E-2</v>
      </c>
    </row>
    <row r="191" spans="1:8" x14ac:dyDescent="0.3">
      <c r="A191" s="2">
        <f t="shared" si="8"/>
        <v>1</v>
      </c>
      <c r="B191" s="2">
        <f t="shared" si="9"/>
        <v>1</v>
      </c>
      <c r="C191" s="1">
        <v>44933</v>
      </c>
      <c r="D191" s="3">
        <v>35</v>
      </c>
      <c r="E191">
        <f>VLOOKUP(B191,WAU!$A:$C,3,0)</f>
        <v>190</v>
      </c>
      <c r="F191">
        <f>VLOOKUP(A191,MAU!$A:$C,3,0)</f>
        <v>536</v>
      </c>
      <c r="G191" s="5">
        <f t="shared" si="10"/>
        <v>0.18421052631578946</v>
      </c>
      <c r="H191" s="5">
        <f t="shared" si="11"/>
        <v>6.5298507462686561E-2</v>
      </c>
    </row>
    <row r="192" spans="1:8" x14ac:dyDescent="0.3">
      <c r="A192" s="2">
        <f t="shared" si="8"/>
        <v>1</v>
      </c>
      <c r="B192" s="2">
        <f t="shared" si="9"/>
        <v>1</v>
      </c>
      <c r="C192" s="1">
        <v>44934</v>
      </c>
      <c r="D192" s="3">
        <v>53</v>
      </c>
      <c r="E192">
        <f>VLOOKUP(B192,WAU!$A:$C,3,0)</f>
        <v>190</v>
      </c>
      <c r="F192">
        <f>VLOOKUP(A192,MAU!$A:$C,3,0)</f>
        <v>536</v>
      </c>
      <c r="G192" s="5">
        <f t="shared" si="10"/>
        <v>0.27894736842105261</v>
      </c>
      <c r="H192" s="5">
        <f t="shared" si="11"/>
        <v>9.8880597014925367E-2</v>
      </c>
    </row>
    <row r="193" spans="1:8" x14ac:dyDescent="0.3">
      <c r="A193" s="2">
        <f t="shared" si="8"/>
        <v>1</v>
      </c>
      <c r="B193" s="2">
        <f t="shared" si="9"/>
        <v>2</v>
      </c>
      <c r="C193" s="1">
        <v>44935</v>
      </c>
      <c r="D193" s="3">
        <v>53</v>
      </c>
      <c r="E193">
        <f>VLOOKUP(B193,WAU!$A:$C,3,0)</f>
        <v>233</v>
      </c>
      <c r="F193">
        <f>VLOOKUP(A193,MAU!$A:$C,3,0)</f>
        <v>536</v>
      </c>
      <c r="G193" s="5">
        <f t="shared" si="10"/>
        <v>0.22746781115879827</v>
      </c>
      <c r="H193" s="5">
        <f t="shared" si="11"/>
        <v>9.8880597014925367E-2</v>
      </c>
    </row>
    <row r="194" spans="1:8" x14ac:dyDescent="0.3">
      <c r="A194" s="2">
        <f t="shared" si="8"/>
        <v>1</v>
      </c>
      <c r="B194" s="2">
        <f t="shared" si="9"/>
        <v>2</v>
      </c>
      <c r="C194" s="1">
        <v>44936</v>
      </c>
      <c r="D194" s="3">
        <v>52</v>
      </c>
      <c r="E194">
        <f>VLOOKUP(B194,WAU!$A:$C,3,0)</f>
        <v>233</v>
      </c>
      <c r="F194">
        <f>VLOOKUP(A194,MAU!$A:$C,3,0)</f>
        <v>536</v>
      </c>
      <c r="G194" s="5">
        <f t="shared" si="10"/>
        <v>0.22317596566523606</v>
      </c>
      <c r="H194" s="5">
        <f t="shared" si="11"/>
        <v>9.7014925373134331E-2</v>
      </c>
    </row>
    <row r="195" spans="1:8" x14ac:dyDescent="0.3">
      <c r="A195" s="2">
        <f t="shared" ref="A195:A258" si="12">MONTH(C195)</f>
        <v>1</v>
      </c>
      <c r="B195" s="2">
        <f t="shared" ref="B195:B258" si="13">_xlfn.ISOWEEKNUM(C195)</f>
        <v>2</v>
      </c>
      <c r="C195" s="1">
        <v>44937</v>
      </c>
      <c r="D195" s="3">
        <v>65</v>
      </c>
      <c r="E195">
        <f>VLOOKUP(B195,WAU!$A:$C,3,0)</f>
        <v>233</v>
      </c>
      <c r="F195">
        <f>VLOOKUP(A195,MAU!$A:$C,3,0)</f>
        <v>536</v>
      </c>
      <c r="G195" s="5">
        <f t="shared" ref="G195:G258" si="14">D195/E195</f>
        <v>0.27896995708154504</v>
      </c>
      <c r="H195" s="5">
        <f t="shared" ref="H195:H258" si="15">D195/F195</f>
        <v>0.12126865671641791</v>
      </c>
    </row>
    <row r="196" spans="1:8" x14ac:dyDescent="0.3">
      <c r="A196" s="2">
        <f t="shared" si="12"/>
        <v>1</v>
      </c>
      <c r="B196" s="2">
        <f t="shared" si="13"/>
        <v>2</v>
      </c>
      <c r="C196" s="1">
        <v>44938</v>
      </c>
      <c r="D196" s="3">
        <v>52</v>
      </c>
      <c r="E196">
        <f>VLOOKUP(B196,WAU!$A:$C,3,0)</f>
        <v>233</v>
      </c>
      <c r="F196">
        <f>VLOOKUP(A196,MAU!$A:$C,3,0)</f>
        <v>536</v>
      </c>
      <c r="G196" s="5">
        <f t="shared" si="14"/>
        <v>0.22317596566523606</v>
      </c>
      <c r="H196" s="5">
        <f t="shared" si="15"/>
        <v>9.7014925373134331E-2</v>
      </c>
    </row>
    <row r="197" spans="1:8" x14ac:dyDescent="0.3">
      <c r="A197" s="2">
        <f t="shared" si="12"/>
        <v>1</v>
      </c>
      <c r="B197" s="2">
        <f t="shared" si="13"/>
        <v>2</v>
      </c>
      <c r="C197" s="1">
        <v>44939</v>
      </c>
      <c r="D197" s="3">
        <v>62</v>
      </c>
      <c r="E197">
        <f>VLOOKUP(B197,WAU!$A:$C,3,0)</f>
        <v>233</v>
      </c>
      <c r="F197">
        <f>VLOOKUP(A197,MAU!$A:$C,3,0)</f>
        <v>536</v>
      </c>
      <c r="G197" s="5">
        <f t="shared" si="14"/>
        <v>0.26609442060085836</v>
      </c>
      <c r="H197" s="5">
        <f t="shared" si="15"/>
        <v>0.11567164179104478</v>
      </c>
    </row>
    <row r="198" spans="1:8" x14ac:dyDescent="0.3">
      <c r="A198" s="2">
        <f t="shared" si="12"/>
        <v>1</v>
      </c>
      <c r="B198" s="2">
        <f t="shared" si="13"/>
        <v>2</v>
      </c>
      <c r="C198" s="1">
        <v>44940</v>
      </c>
      <c r="D198" s="3">
        <v>77</v>
      </c>
      <c r="E198">
        <f>VLOOKUP(B198,WAU!$A:$C,3,0)</f>
        <v>233</v>
      </c>
      <c r="F198">
        <f>VLOOKUP(A198,MAU!$A:$C,3,0)</f>
        <v>536</v>
      </c>
      <c r="G198" s="5">
        <f t="shared" si="14"/>
        <v>0.33047210300429186</v>
      </c>
      <c r="H198" s="5">
        <f t="shared" si="15"/>
        <v>0.14365671641791045</v>
      </c>
    </row>
    <row r="199" spans="1:8" x14ac:dyDescent="0.3">
      <c r="A199" s="2">
        <f t="shared" si="12"/>
        <v>1</v>
      </c>
      <c r="B199" s="2">
        <f t="shared" si="13"/>
        <v>2</v>
      </c>
      <c r="C199" s="1">
        <v>44941</v>
      </c>
      <c r="D199" s="3">
        <v>61</v>
      </c>
      <c r="E199">
        <f>VLOOKUP(B199,WAU!$A:$C,3,0)</f>
        <v>233</v>
      </c>
      <c r="F199">
        <f>VLOOKUP(A199,MAU!$A:$C,3,0)</f>
        <v>536</v>
      </c>
      <c r="G199" s="5">
        <f t="shared" si="14"/>
        <v>0.26180257510729615</v>
      </c>
      <c r="H199" s="5">
        <f t="shared" si="15"/>
        <v>0.11380597014925373</v>
      </c>
    </row>
    <row r="200" spans="1:8" x14ac:dyDescent="0.3">
      <c r="A200" s="2">
        <f t="shared" si="12"/>
        <v>1</v>
      </c>
      <c r="B200" s="2">
        <f t="shared" si="13"/>
        <v>3</v>
      </c>
      <c r="C200" s="1">
        <v>44942</v>
      </c>
      <c r="D200" s="3">
        <v>70</v>
      </c>
      <c r="E200">
        <f>VLOOKUP(B200,WAU!$A:$C,3,0)</f>
        <v>272</v>
      </c>
      <c r="F200">
        <f>VLOOKUP(A200,MAU!$A:$C,3,0)</f>
        <v>536</v>
      </c>
      <c r="G200" s="5">
        <f t="shared" si="14"/>
        <v>0.25735294117647056</v>
      </c>
      <c r="H200" s="5">
        <f t="shared" si="15"/>
        <v>0.13059701492537312</v>
      </c>
    </row>
    <row r="201" spans="1:8" x14ac:dyDescent="0.3">
      <c r="A201" s="2">
        <f t="shared" si="12"/>
        <v>1</v>
      </c>
      <c r="B201" s="2">
        <f t="shared" si="13"/>
        <v>3</v>
      </c>
      <c r="C201" s="1">
        <v>44943</v>
      </c>
      <c r="D201" s="3">
        <v>66</v>
      </c>
      <c r="E201">
        <f>VLOOKUP(B201,WAU!$A:$C,3,0)</f>
        <v>272</v>
      </c>
      <c r="F201">
        <f>VLOOKUP(A201,MAU!$A:$C,3,0)</f>
        <v>536</v>
      </c>
      <c r="G201" s="5">
        <f t="shared" si="14"/>
        <v>0.24264705882352941</v>
      </c>
      <c r="H201" s="5">
        <f t="shared" si="15"/>
        <v>0.12313432835820895</v>
      </c>
    </row>
    <row r="202" spans="1:8" x14ac:dyDescent="0.3">
      <c r="A202" s="2">
        <f t="shared" si="12"/>
        <v>1</v>
      </c>
      <c r="B202" s="2">
        <f t="shared" si="13"/>
        <v>3</v>
      </c>
      <c r="C202" s="1">
        <v>44944</v>
      </c>
      <c r="D202" s="3">
        <v>73</v>
      </c>
      <c r="E202">
        <f>VLOOKUP(B202,WAU!$A:$C,3,0)</f>
        <v>272</v>
      </c>
      <c r="F202">
        <f>VLOOKUP(A202,MAU!$A:$C,3,0)</f>
        <v>536</v>
      </c>
      <c r="G202" s="5">
        <f t="shared" si="14"/>
        <v>0.26838235294117646</v>
      </c>
      <c r="H202" s="5">
        <f t="shared" si="15"/>
        <v>0.13619402985074627</v>
      </c>
    </row>
    <row r="203" spans="1:8" x14ac:dyDescent="0.3">
      <c r="A203" s="2">
        <f t="shared" si="12"/>
        <v>1</v>
      </c>
      <c r="B203" s="2">
        <f t="shared" si="13"/>
        <v>3</v>
      </c>
      <c r="C203" s="1">
        <v>44945</v>
      </c>
      <c r="D203" s="3">
        <v>73</v>
      </c>
      <c r="E203">
        <f>VLOOKUP(B203,WAU!$A:$C,3,0)</f>
        <v>272</v>
      </c>
      <c r="F203">
        <f>VLOOKUP(A203,MAU!$A:$C,3,0)</f>
        <v>536</v>
      </c>
      <c r="G203" s="5">
        <f t="shared" si="14"/>
        <v>0.26838235294117646</v>
      </c>
      <c r="H203" s="5">
        <f t="shared" si="15"/>
        <v>0.13619402985074627</v>
      </c>
    </row>
    <row r="204" spans="1:8" x14ac:dyDescent="0.3">
      <c r="A204" s="2">
        <f t="shared" si="12"/>
        <v>1</v>
      </c>
      <c r="B204" s="2">
        <f t="shared" si="13"/>
        <v>3</v>
      </c>
      <c r="C204" s="1">
        <v>44946</v>
      </c>
      <c r="D204" s="3">
        <v>80</v>
      </c>
      <c r="E204">
        <f>VLOOKUP(B204,WAU!$A:$C,3,0)</f>
        <v>272</v>
      </c>
      <c r="F204">
        <f>VLOOKUP(A204,MAU!$A:$C,3,0)</f>
        <v>536</v>
      </c>
      <c r="G204" s="5">
        <f t="shared" si="14"/>
        <v>0.29411764705882354</v>
      </c>
      <c r="H204" s="5">
        <f t="shared" si="15"/>
        <v>0.14925373134328357</v>
      </c>
    </row>
    <row r="205" spans="1:8" x14ac:dyDescent="0.3">
      <c r="A205" s="2">
        <f t="shared" si="12"/>
        <v>1</v>
      </c>
      <c r="B205" s="2">
        <f t="shared" si="13"/>
        <v>3</v>
      </c>
      <c r="C205" s="1">
        <v>44947</v>
      </c>
      <c r="D205" s="3">
        <v>75</v>
      </c>
      <c r="E205">
        <f>VLOOKUP(B205,WAU!$A:$C,3,0)</f>
        <v>272</v>
      </c>
      <c r="F205">
        <f>VLOOKUP(A205,MAU!$A:$C,3,0)</f>
        <v>536</v>
      </c>
      <c r="G205" s="5">
        <f t="shared" si="14"/>
        <v>0.27573529411764708</v>
      </c>
      <c r="H205" s="5">
        <f t="shared" si="15"/>
        <v>0.13992537313432835</v>
      </c>
    </row>
    <row r="206" spans="1:8" x14ac:dyDescent="0.3">
      <c r="A206" s="2">
        <f t="shared" si="12"/>
        <v>1</v>
      </c>
      <c r="B206" s="2">
        <f t="shared" si="13"/>
        <v>3</v>
      </c>
      <c r="C206" s="1">
        <v>44948</v>
      </c>
      <c r="D206" s="3">
        <v>90</v>
      </c>
      <c r="E206">
        <f>VLOOKUP(B206,WAU!$A:$C,3,0)</f>
        <v>272</v>
      </c>
      <c r="F206">
        <f>VLOOKUP(A206,MAU!$A:$C,3,0)</f>
        <v>536</v>
      </c>
      <c r="G206" s="5">
        <f t="shared" si="14"/>
        <v>0.33088235294117646</v>
      </c>
      <c r="H206" s="5">
        <f t="shared" si="15"/>
        <v>0.16791044776119404</v>
      </c>
    </row>
    <row r="207" spans="1:8" x14ac:dyDescent="0.3">
      <c r="A207" s="2">
        <f t="shared" si="12"/>
        <v>1</v>
      </c>
      <c r="B207" s="2">
        <f t="shared" si="13"/>
        <v>4</v>
      </c>
      <c r="C207" s="1">
        <v>44949</v>
      </c>
      <c r="D207" s="3">
        <v>78</v>
      </c>
      <c r="E207">
        <f>VLOOKUP(B207,WAU!$A:$C,3,0)</f>
        <v>295</v>
      </c>
      <c r="F207">
        <f>VLOOKUP(A207,MAU!$A:$C,3,0)</f>
        <v>536</v>
      </c>
      <c r="G207" s="5">
        <f t="shared" si="14"/>
        <v>0.26440677966101694</v>
      </c>
      <c r="H207" s="5">
        <f t="shared" si="15"/>
        <v>0.1455223880597015</v>
      </c>
    </row>
    <row r="208" spans="1:8" x14ac:dyDescent="0.3">
      <c r="A208" s="2">
        <f t="shared" si="12"/>
        <v>1</v>
      </c>
      <c r="B208" s="2">
        <f t="shared" si="13"/>
        <v>4</v>
      </c>
      <c r="C208" s="1">
        <v>44950</v>
      </c>
      <c r="D208" s="3">
        <v>90</v>
      </c>
      <c r="E208">
        <f>VLOOKUP(B208,WAU!$A:$C,3,0)</f>
        <v>295</v>
      </c>
      <c r="F208">
        <f>VLOOKUP(A208,MAU!$A:$C,3,0)</f>
        <v>536</v>
      </c>
      <c r="G208" s="5">
        <f t="shared" si="14"/>
        <v>0.30508474576271188</v>
      </c>
      <c r="H208" s="5">
        <f t="shared" si="15"/>
        <v>0.16791044776119404</v>
      </c>
    </row>
    <row r="209" spans="1:8" x14ac:dyDescent="0.3">
      <c r="A209" s="2">
        <f t="shared" si="12"/>
        <v>1</v>
      </c>
      <c r="B209" s="2">
        <f t="shared" si="13"/>
        <v>4</v>
      </c>
      <c r="C209" s="1">
        <v>44951</v>
      </c>
      <c r="D209" s="3">
        <v>88</v>
      </c>
      <c r="E209">
        <f>VLOOKUP(B209,WAU!$A:$C,3,0)</f>
        <v>295</v>
      </c>
      <c r="F209">
        <f>VLOOKUP(A209,MAU!$A:$C,3,0)</f>
        <v>536</v>
      </c>
      <c r="G209" s="5">
        <f t="shared" si="14"/>
        <v>0.29830508474576273</v>
      </c>
      <c r="H209" s="5">
        <f t="shared" si="15"/>
        <v>0.16417910447761194</v>
      </c>
    </row>
    <row r="210" spans="1:8" x14ac:dyDescent="0.3">
      <c r="A210" s="2">
        <f t="shared" si="12"/>
        <v>1</v>
      </c>
      <c r="B210" s="2">
        <f t="shared" si="13"/>
        <v>4</v>
      </c>
      <c r="C210" s="1">
        <v>44952</v>
      </c>
      <c r="D210" s="3">
        <v>83</v>
      </c>
      <c r="E210">
        <f>VLOOKUP(B210,WAU!$A:$C,3,0)</f>
        <v>295</v>
      </c>
      <c r="F210">
        <f>VLOOKUP(A210,MAU!$A:$C,3,0)</f>
        <v>536</v>
      </c>
      <c r="G210" s="5">
        <f t="shared" si="14"/>
        <v>0.28135593220338984</v>
      </c>
      <c r="H210" s="5">
        <f t="shared" si="15"/>
        <v>0.15485074626865672</v>
      </c>
    </row>
    <row r="211" spans="1:8" x14ac:dyDescent="0.3">
      <c r="A211" s="2">
        <f t="shared" si="12"/>
        <v>1</v>
      </c>
      <c r="B211" s="2">
        <f t="shared" si="13"/>
        <v>4</v>
      </c>
      <c r="C211" s="1">
        <v>44953</v>
      </c>
      <c r="D211" s="3">
        <v>92</v>
      </c>
      <c r="E211">
        <f>VLOOKUP(B211,WAU!$A:$C,3,0)</f>
        <v>295</v>
      </c>
      <c r="F211">
        <f>VLOOKUP(A211,MAU!$A:$C,3,0)</f>
        <v>536</v>
      </c>
      <c r="G211" s="5">
        <f t="shared" si="14"/>
        <v>0.31186440677966104</v>
      </c>
      <c r="H211" s="5">
        <f t="shared" si="15"/>
        <v>0.17164179104477612</v>
      </c>
    </row>
    <row r="212" spans="1:8" x14ac:dyDescent="0.3">
      <c r="A212" s="2">
        <f t="shared" si="12"/>
        <v>1</v>
      </c>
      <c r="B212" s="2">
        <f t="shared" si="13"/>
        <v>4</v>
      </c>
      <c r="C212" s="1">
        <v>44954</v>
      </c>
      <c r="D212" s="3">
        <v>99</v>
      </c>
      <c r="E212">
        <f>VLOOKUP(B212,WAU!$A:$C,3,0)</f>
        <v>295</v>
      </c>
      <c r="F212">
        <f>VLOOKUP(A212,MAU!$A:$C,3,0)</f>
        <v>536</v>
      </c>
      <c r="G212" s="5">
        <f t="shared" si="14"/>
        <v>0.33559322033898303</v>
      </c>
      <c r="H212" s="5">
        <f t="shared" si="15"/>
        <v>0.18470149253731344</v>
      </c>
    </row>
    <row r="213" spans="1:8" x14ac:dyDescent="0.3">
      <c r="A213" s="2">
        <f t="shared" si="12"/>
        <v>1</v>
      </c>
      <c r="B213" s="2">
        <f t="shared" si="13"/>
        <v>4</v>
      </c>
      <c r="C213" s="1">
        <v>44955</v>
      </c>
      <c r="D213" s="3">
        <v>93</v>
      </c>
      <c r="E213">
        <f>VLOOKUP(B213,WAU!$A:$C,3,0)</f>
        <v>295</v>
      </c>
      <c r="F213">
        <f>VLOOKUP(A213,MAU!$A:$C,3,0)</f>
        <v>536</v>
      </c>
      <c r="G213" s="5">
        <f t="shared" si="14"/>
        <v>0.31525423728813562</v>
      </c>
      <c r="H213" s="5">
        <f t="shared" si="15"/>
        <v>0.17350746268656717</v>
      </c>
    </row>
    <row r="214" spans="1:8" x14ac:dyDescent="0.3">
      <c r="A214" s="2">
        <f t="shared" si="12"/>
        <v>1</v>
      </c>
      <c r="B214" s="2">
        <f t="shared" si="13"/>
        <v>5</v>
      </c>
      <c r="C214" s="1">
        <v>44956</v>
      </c>
      <c r="D214" s="3">
        <v>115</v>
      </c>
      <c r="E214">
        <f>VLOOKUP(B214,WAU!$A:$C,3,0)</f>
        <v>346</v>
      </c>
      <c r="F214">
        <f>VLOOKUP(A214,MAU!$A:$C,3,0)</f>
        <v>536</v>
      </c>
      <c r="G214" s="5">
        <f t="shared" si="14"/>
        <v>0.33236994219653176</v>
      </c>
      <c r="H214" s="5">
        <f t="shared" si="15"/>
        <v>0.21455223880597016</v>
      </c>
    </row>
    <row r="215" spans="1:8" x14ac:dyDescent="0.3">
      <c r="A215" s="2">
        <f t="shared" si="12"/>
        <v>1</v>
      </c>
      <c r="B215" s="2">
        <f t="shared" si="13"/>
        <v>5</v>
      </c>
      <c r="C215" s="1">
        <v>44957</v>
      </c>
      <c r="D215" s="3">
        <v>108</v>
      </c>
      <c r="E215">
        <f>VLOOKUP(B215,WAU!$A:$C,3,0)</f>
        <v>346</v>
      </c>
      <c r="F215">
        <f>VLOOKUP(A215,MAU!$A:$C,3,0)</f>
        <v>536</v>
      </c>
      <c r="G215" s="5">
        <f t="shared" si="14"/>
        <v>0.31213872832369943</v>
      </c>
      <c r="H215" s="5">
        <f t="shared" si="15"/>
        <v>0.20149253731343283</v>
      </c>
    </row>
    <row r="216" spans="1:8" x14ac:dyDescent="0.3">
      <c r="A216" s="2">
        <f t="shared" si="12"/>
        <v>2</v>
      </c>
      <c r="B216" s="2">
        <f t="shared" si="13"/>
        <v>5</v>
      </c>
      <c r="C216" s="1">
        <v>44958</v>
      </c>
      <c r="D216" s="3">
        <v>112</v>
      </c>
      <c r="E216">
        <f>VLOOKUP(B216,WAU!$A:$C,3,0)</f>
        <v>346</v>
      </c>
      <c r="F216">
        <f>VLOOKUP(A216,MAU!$A:$C,3,0)</f>
        <v>696</v>
      </c>
      <c r="G216" s="5">
        <f t="shared" si="14"/>
        <v>0.32369942196531792</v>
      </c>
      <c r="H216" s="5">
        <f t="shared" si="15"/>
        <v>0.16091954022988506</v>
      </c>
    </row>
    <row r="217" spans="1:8" x14ac:dyDescent="0.3">
      <c r="A217" s="2">
        <f t="shared" si="12"/>
        <v>2</v>
      </c>
      <c r="B217" s="2">
        <f t="shared" si="13"/>
        <v>5</v>
      </c>
      <c r="C217" s="1">
        <v>44959</v>
      </c>
      <c r="D217" s="3">
        <v>86</v>
      </c>
      <c r="E217">
        <f>VLOOKUP(B217,WAU!$A:$C,3,0)</f>
        <v>346</v>
      </c>
      <c r="F217">
        <f>VLOOKUP(A217,MAU!$A:$C,3,0)</f>
        <v>696</v>
      </c>
      <c r="G217" s="5">
        <f t="shared" si="14"/>
        <v>0.24855491329479767</v>
      </c>
      <c r="H217" s="5">
        <f t="shared" si="15"/>
        <v>0.1235632183908046</v>
      </c>
    </row>
    <row r="218" spans="1:8" x14ac:dyDescent="0.3">
      <c r="A218" s="2">
        <f t="shared" si="12"/>
        <v>2</v>
      </c>
      <c r="B218" s="2">
        <f t="shared" si="13"/>
        <v>5</v>
      </c>
      <c r="C218" s="1">
        <v>44960</v>
      </c>
      <c r="D218" s="3">
        <v>98</v>
      </c>
      <c r="E218">
        <f>VLOOKUP(B218,WAU!$A:$C,3,0)</f>
        <v>346</v>
      </c>
      <c r="F218">
        <f>VLOOKUP(A218,MAU!$A:$C,3,0)</f>
        <v>696</v>
      </c>
      <c r="G218" s="5">
        <f t="shared" si="14"/>
        <v>0.2832369942196532</v>
      </c>
      <c r="H218" s="5">
        <f t="shared" si="15"/>
        <v>0.14080459770114942</v>
      </c>
    </row>
    <row r="219" spans="1:8" x14ac:dyDescent="0.3">
      <c r="A219" s="2">
        <f t="shared" si="12"/>
        <v>2</v>
      </c>
      <c r="B219" s="2">
        <f t="shared" si="13"/>
        <v>5</v>
      </c>
      <c r="C219" s="1">
        <v>44961</v>
      </c>
      <c r="D219" s="3">
        <v>100</v>
      </c>
      <c r="E219">
        <f>VLOOKUP(B219,WAU!$A:$C,3,0)</f>
        <v>346</v>
      </c>
      <c r="F219">
        <f>VLOOKUP(A219,MAU!$A:$C,3,0)</f>
        <v>696</v>
      </c>
      <c r="G219" s="5">
        <f t="shared" si="14"/>
        <v>0.28901734104046245</v>
      </c>
      <c r="H219" s="5">
        <f t="shared" si="15"/>
        <v>0.14367816091954022</v>
      </c>
    </row>
    <row r="220" spans="1:8" x14ac:dyDescent="0.3">
      <c r="A220" s="2">
        <f t="shared" si="12"/>
        <v>2</v>
      </c>
      <c r="B220" s="2">
        <f t="shared" si="13"/>
        <v>5</v>
      </c>
      <c r="C220" s="1">
        <v>44962</v>
      </c>
      <c r="D220" s="3">
        <v>95</v>
      </c>
      <c r="E220">
        <f>VLOOKUP(B220,WAU!$A:$C,3,0)</f>
        <v>346</v>
      </c>
      <c r="F220">
        <f>VLOOKUP(A220,MAU!$A:$C,3,0)</f>
        <v>696</v>
      </c>
      <c r="G220" s="5">
        <f t="shared" si="14"/>
        <v>0.27456647398843931</v>
      </c>
      <c r="H220" s="5">
        <f t="shared" si="15"/>
        <v>0.13649425287356323</v>
      </c>
    </row>
    <row r="221" spans="1:8" x14ac:dyDescent="0.3">
      <c r="A221" s="2">
        <f t="shared" si="12"/>
        <v>2</v>
      </c>
      <c r="B221" s="2">
        <f t="shared" si="13"/>
        <v>6</v>
      </c>
      <c r="C221" s="1">
        <v>44963</v>
      </c>
      <c r="D221" s="3">
        <v>98</v>
      </c>
      <c r="E221">
        <f>VLOOKUP(B221,WAU!$A:$C,3,0)</f>
        <v>340</v>
      </c>
      <c r="F221">
        <f>VLOOKUP(A221,MAU!$A:$C,3,0)</f>
        <v>696</v>
      </c>
      <c r="G221" s="5">
        <f t="shared" si="14"/>
        <v>0.28823529411764703</v>
      </c>
      <c r="H221" s="5">
        <f t="shared" si="15"/>
        <v>0.14080459770114942</v>
      </c>
    </row>
    <row r="222" spans="1:8" x14ac:dyDescent="0.3">
      <c r="A222" s="2">
        <f t="shared" si="12"/>
        <v>2</v>
      </c>
      <c r="B222" s="2">
        <f t="shared" si="13"/>
        <v>6</v>
      </c>
      <c r="C222" s="1">
        <v>44964</v>
      </c>
      <c r="D222" s="3">
        <v>90</v>
      </c>
      <c r="E222">
        <f>VLOOKUP(B222,WAU!$A:$C,3,0)</f>
        <v>340</v>
      </c>
      <c r="F222">
        <f>VLOOKUP(A222,MAU!$A:$C,3,0)</f>
        <v>696</v>
      </c>
      <c r="G222" s="5">
        <f t="shared" si="14"/>
        <v>0.26470588235294118</v>
      </c>
      <c r="H222" s="5">
        <f t="shared" si="15"/>
        <v>0.12931034482758622</v>
      </c>
    </row>
    <row r="223" spans="1:8" x14ac:dyDescent="0.3">
      <c r="A223" s="2">
        <f t="shared" si="12"/>
        <v>2</v>
      </c>
      <c r="B223" s="2">
        <f t="shared" si="13"/>
        <v>6</v>
      </c>
      <c r="C223" s="1">
        <v>44965</v>
      </c>
      <c r="D223" s="3">
        <v>107</v>
      </c>
      <c r="E223">
        <f>VLOOKUP(B223,WAU!$A:$C,3,0)</f>
        <v>340</v>
      </c>
      <c r="F223">
        <f>VLOOKUP(A223,MAU!$A:$C,3,0)</f>
        <v>696</v>
      </c>
      <c r="G223" s="5">
        <f t="shared" si="14"/>
        <v>0.31470588235294117</v>
      </c>
      <c r="H223" s="5">
        <f t="shared" si="15"/>
        <v>0.15373563218390804</v>
      </c>
    </row>
    <row r="224" spans="1:8" x14ac:dyDescent="0.3">
      <c r="A224" s="2">
        <f t="shared" si="12"/>
        <v>2</v>
      </c>
      <c r="B224" s="2">
        <f t="shared" si="13"/>
        <v>6</v>
      </c>
      <c r="C224" s="1">
        <v>44966</v>
      </c>
      <c r="D224" s="3">
        <v>101</v>
      </c>
      <c r="E224">
        <f>VLOOKUP(B224,WAU!$A:$C,3,0)</f>
        <v>340</v>
      </c>
      <c r="F224">
        <f>VLOOKUP(A224,MAU!$A:$C,3,0)</f>
        <v>696</v>
      </c>
      <c r="G224" s="5">
        <f t="shared" si="14"/>
        <v>0.29705882352941176</v>
      </c>
      <c r="H224" s="5">
        <f t="shared" si="15"/>
        <v>0.14511494252873564</v>
      </c>
    </row>
    <row r="225" spans="1:8" x14ac:dyDescent="0.3">
      <c r="A225" s="2">
        <f t="shared" si="12"/>
        <v>2</v>
      </c>
      <c r="B225" s="2">
        <f t="shared" si="13"/>
        <v>6</v>
      </c>
      <c r="C225" s="1">
        <v>44967</v>
      </c>
      <c r="D225" s="3">
        <v>104</v>
      </c>
      <c r="E225">
        <f>VLOOKUP(B225,WAU!$A:$C,3,0)</f>
        <v>340</v>
      </c>
      <c r="F225">
        <f>VLOOKUP(A225,MAU!$A:$C,3,0)</f>
        <v>696</v>
      </c>
      <c r="G225" s="5">
        <f t="shared" si="14"/>
        <v>0.30588235294117649</v>
      </c>
      <c r="H225" s="5">
        <f t="shared" si="15"/>
        <v>0.14942528735632185</v>
      </c>
    </row>
    <row r="226" spans="1:8" x14ac:dyDescent="0.3">
      <c r="A226" s="2">
        <f t="shared" si="12"/>
        <v>2</v>
      </c>
      <c r="B226" s="2">
        <f t="shared" si="13"/>
        <v>6</v>
      </c>
      <c r="C226" s="1">
        <v>44968</v>
      </c>
      <c r="D226" s="3">
        <v>98</v>
      </c>
      <c r="E226">
        <f>VLOOKUP(B226,WAU!$A:$C,3,0)</f>
        <v>340</v>
      </c>
      <c r="F226">
        <f>VLOOKUP(A226,MAU!$A:$C,3,0)</f>
        <v>696</v>
      </c>
      <c r="G226" s="5">
        <f t="shared" si="14"/>
        <v>0.28823529411764703</v>
      </c>
      <c r="H226" s="5">
        <f t="shared" si="15"/>
        <v>0.14080459770114942</v>
      </c>
    </row>
    <row r="227" spans="1:8" x14ac:dyDescent="0.3">
      <c r="A227" s="2">
        <f t="shared" si="12"/>
        <v>2</v>
      </c>
      <c r="B227" s="2">
        <f t="shared" si="13"/>
        <v>6</v>
      </c>
      <c r="C227" s="1">
        <v>44969</v>
      </c>
      <c r="D227" s="3">
        <v>101</v>
      </c>
      <c r="E227">
        <f>VLOOKUP(B227,WAU!$A:$C,3,0)</f>
        <v>340</v>
      </c>
      <c r="F227">
        <f>VLOOKUP(A227,MAU!$A:$C,3,0)</f>
        <v>696</v>
      </c>
      <c r="G227" s="5">
        <f t="shared" si="14"/>
        <v>0.29705882352941176</v>
      </c>
      <c r="H227" s="5">
        <f t="shared" si="15"/>
        <v>0.14511494252873564</v>
      </c>
    </row>
    <row r="228" spans="1:8" x14ac:dyDescent="0.3">
      <c r="A228" s="2">
        <f t="shared" si="12"/>
        <v>2</v>
      </c>
      <c r="B228" s="2">
        <f t="shared" si="13"/>
        <v>7</v>
      </c>
      <c r="C228" s="1">
        <v>44970</v>
      </c>
      <c r="D228" s="3">
        <v>94</v>
      </c>
      <c r="E228">
        <f>VLOOKUP(B228,WAU!$A:$C,3,0)</f>
        <v>347</v>
      </c>
      <c r="F228">
        <f>VLOOKUP(A228,MAU!$A:$C,3,0)</f>
        <v>696</v>
      </c>
      <c r="G228" s="5">
        <f t="shared" si="14"/>
        <v>0.27089337175792505</v>
      </c>
      <c r="H228" s="5">
        <f t="shared" si="15"/>
        <v>0.13505747126436782</v>
      </c>
    </row>
    <row r="229" spans="1:8" x14ac:dyDescent="0.3">
      <c r="A229" s="2">
        <f t="shared" si="12"/>
        <v>2</v>
      </c>
      <c r="B229" s="2">
        <f t="shared" si="13"/>
        <v>7</v>
      </c>
      <c r="C229" s="1">
        <v>44971</v>
      </c>
      <c r="D229" s="3">
        <v>108</v>
      </c>
      <c r="E229">
        <f>VLOOKUP(B229,WAU!$A:$C,3,0)</f>
        <v>347</v>
      </c>
      <c r="F229">
        <f>VLOOKUP(A229,MAU!$A:$C,3,0)</f>
        <v>696</v>
      </c>
      <c r="G229" s="5">
        <f t="shared" si="14"/>
        <v>0.31123919308357351</v>
      </c>
      <c r="H229" s="5">
        <f t="shared" si="15"/>
        <v>0.15517241379310345</v>
      </c>
    </row>
    <row r="230" spans="1:8" x14ac:dyDescent="0.3">
      <c r="A230" s="2">
        <f t="shared" si="12"/>
        <v>2</v>
      </c>
      <c r="B230" s="2">
        <f t="shared" si="13"/>
        <v>7</v>
      </c>
      <c r="C230" s="1">
        <v>44972</v>
      </c>
      <c r="D230" s="3">
        <v>103</v>
      </c>
      <c r="E230">
        <f>VLOOKUP(B230,WAU!$A:$C,3,0)</f>
        <v>347</v>
      </c>
      <c r="F230">
        <f>VLOOKUP(A230,MAU!$A:$C,3,0)</f>
        <v>696</v>
      </c>
      <c r="G230" s="5">
        <f t="shared" si="14"/>
        <v>0.29682997118155618</v>
      </c>
      <c r="H230" s="5">
        <f t="shared" si="15"/>
        <v>0.14798850574712644</v>
      </c>
    </row>
    <row r="231" spans="1:8" x14ac:dyDescent="0.3">
      <c r="A231" s="2">
        <f t="shared" si="12"/>
        <v>2</v>
      </c>
      <c r="B231" s="2">
        <f t="shared" si="13"/>
        <v>7</v>
      </c>
      <c r="C231" s="1">
        <v>44973</v>
      </c>
      <c r="D231" s="3">
        <v>95</v>
      </c>
      <c r="E231">
        <f>VLOOKUP(B231,WAU!$A:$C,3,0)</f>
        <v>347</v>
      </c>
      <c r="F231">
        <f>VLOOKUP(A231,MAU!$A:$C,3,0)</f>
        <v>696</v>
      </c>
      <c r="G231" s="5">
        <f t="shared" si="14"/>
        <v>0.2737752161383285</v>
      </c>
      <c r="H231" s="5">
        <f t="shared" si="15"/>
        <v>0.13649425287356323</v>
      </c>
    </row>
    <row r="232" spans="1:8" x14ac:dyDescent="0.3">
      <c r="A232" s="2">
        <f t="shared" si="12"/>
        <v>2</v>
      </c>
      <c r="B232" s="2">
        <f t="shared" si="13"/>
        <v>7</v>
      </c>
      <c r="C232" s="1">
        <v>44974</v>
      </c>
      <c r="D232" s="3">
        <v>107</v>
      </c>
      <c r="E232">
        <f>VLOOKUP(B232,WAU!$A:$C,3,0)</f>
        <v>347</v>
      </c>
      <c r="F232">
        <f>VLOOKUP(A232,MAU!$A:$C,3,0)</f>
        <v>696</v>
      </c>
      <c r="G232" s="5">
        <f t="shared" si="14"/>
        <v>0.30835734870317005</v>
      </c>
      <c r="H232" s="5">
        <f t="shared" si="15"/>
        <v>0.15373563218390804</v>
      </c>
    </row>
    <row r="233" spans="1:8" x14ac:dyDescent="0.3">
      <c r="A233" s="2">
        <f t="shared" si="12"/>
        <v>2</v>
      </c>
      <c r="B233" s="2">
        <f t="shared" si="13"/>
        <v>7</v>
      </c>
      <c r="C233" s="1">
        <v>44975</v>
      </c>
      <c r="D233" s="3">
        <v>116</v>
      </c>
      <c r="E233">
        <f>VLOOKUP(B233,WAU!$A:$C,3,0)</f>
        <v>347</v>
      </c>
      <c r="F233">
        <f>VLOOKUP(A233,MAU!$A:$C,3,0)</f>
        <v>696</v>
      </c>
      <c r="G233" s="5">
        <f t="shared" si="14"/>
        <v>0.33429394812680113</v>
      </c>
      <c r="H233" s="5">
        <f t="shared" si="15"/>
        <v>0.16666666666666666</v>
      </c>
    </row>
    <row r="234" spans="1:8" x14ac:dyDescent="0.3">
      <c r="A234" s="2">
        <f t="shared" si="12"/>
        <v>2</v>
      </c>
      <c r="B234" s="2">
        <f t="shared" si="13"/>
        <v>7</v>
      </c>
      <c r="C234" s="1">
        <v>44976</v>
      </c>
      <c r="D234" s="3">
        <v>109</v>
      </c>
      <c r="E234">
        <f>VLOOKUP(B234,WAU!$A:$C,3,0)</f>
        <v>347</v>
      </c>
      <c r="F234">
        <f>VLOOKUP(A234,MAU!$A:$C,3,0)</f>
        <v>696</v>
      </c>
      <c r="G234" s="5">
        <f t="shared" si="14"/>
        <v>0.31412103746397696</v>
      </c>
      <c r="H234" s="5">
        <f t="shared" si="15"/>
        <v>0.15660919540229884</v>
      </c>
    </row>
    <row r="235" spans="1:8" x14ac:dyDescent="0.3">
      <c r="A235" s="2">
        <f t="shared" si="12"/>
        <v>2</v>
      </c>
      <c r="B235" s="2">
        <f t="shared" si="13"/>
        <v>8</v>
      </c>
      <c r="C235" s="1">
        <v>44977</v>
      </c>
      <c r="D235" s="3">
        <v>84</v>
      </c>
      <c r="E235">
        <f>VLOOKUP(B235,WAU!$A:$C,3,0)</f>
        <v>384</v>
      </c>
      <c r="F235">
        <f>VLOOKUP(A235,MAU!$A:$C,3,0)</f>
        <v>696</v>
      </c>
      <c r="G235" s="5">
        <f t="shared" si="14"/>
        <v>0.21875</v>
      </c>
      <c r="H235" s="5">
        <f t="shared" si="15"/>
        <v>0.1206896551724138</v>
      </c>
    </row>
    <row r="236" spans="1:8" x14ac:dyDescent="0.3">
      <c r="A236" s="2">
        <f t="shared" si="12"/>
        <v>2</v>
      </c>
      <c r="B236" s="2">
        <f t="shared" si="13"/>
        <v>8</v>
      </c>
      <c r="C236" s="1">
        <v>44978</v>
      </c>
      <c r="D236" s="3">
        <v>98</v>
      </c>
      <c r="E236">
        <f>VLOOKUP(B236,WAU!$A:$C,3,0)</f>
        <v>384</v>
      </c>
      <c r="F236">
        <f>VLOOKUP(A236,MAU!$A:$C,3,0)</f>
        <v>696</v>
      </c>
      <c r="G236" s="5">
        <f t="shared" si="14"/>
        <v>0.25520833333333331</v>
      </c>
      <c r="H236" s="5">
        <f t="shared" si="15"/>
        <v>0.14080459770114942</v>
      </c>
    </row>
    <row r="237" spans="1:8" x14ac:dyDescent="0.3">
      <c r="A237" s="2">
        <f t="shared" si="12"/>
        <v>2</v>
      </c>
      <c r="B237" s="2">
        <f t="shared" si="13"/>
        <v>8</v>
      </c>
      <c r="C237" s="1">
        <v>44979</v>
      </c>
      <c r="D237" s="3">
        <v>115</v>
      </c>
      <c r="E237">
        <f>VLOOKUP(B237,WAU!$A:$C,3,0)</f>
        <v>384</v>
      </c>
      <c r="F237">
        <f>VLOOKUP(A237,MAU!$A:$C,3,0)</f>
        <v>696</v>
      </c>
      <c r="G237" s="5">
        <f t="shared" si="14"/>
        <v>0.29947916666666669</v>
      </c>
      <c r="H237" s="5">
        <f t="shared" si="15"/>
        <v>0.16522988505747127</v>
      </c>
    </row>
    <row r="238" spans="1:8" x14ac:dyDescent="0.3">
      <c r="A238" s="2">
        <f t="shared" si="12"/>
        <v>2</v>
      </c>
      <c r="B238" s="2">
        <f t="shared" si="13"/>
        <v>8</v>
      </c>
      <c r="C238" s="1">
        <v>44980</v>
      </c>
      <c r="D238" s="3">
        <v>95</v>
      </c>
      <c r="E238">
        <f>VLOOKUP(B238,WAU!$A:$C,3,0)</f>
        <v>384</v>
      </c>
      <c r="F238">
        <f>VLOOKUP(A238,MAU!$A:$C,3,0)</f>
        <v>696</v>
      </c>
      <c r="G238" s="5">
        <f t="shared" si="14"/>
        <v>0.24739583333333334</v>
      </c>
      <c r="H238" s="5">
        <f t="shared" si="15"/>
        <v>0.13649425287356323</v>
      </c>
    </row>
    <row r="239" spans="1:8" x14ac:dyDescent="0.3">
      <c r="A239" s="2">
        <f t="shared" si="12"/>
        <v>2</v>
      </c>
      <c r="B239" s="2">
        <f t="shared" si="13"/>
        <v>8</v>
      </c>
      <c r="C239" s="1">
        <v>44981</v>
      </c>
      <c r="D239" s="3">
        <v>106</v>
      </c>
      <c r="E239">
        <f>VLOOKUP(B239,WAU!$A:$C,3,0)</f>
        <v>384</v>
      </c>
      <c r="F239">
        <f>VLOOKUP(A239,MAU!$A:$C,3,0)</f>
        <v>696</v>
      </c>
      <c r="G239" s="5">
        <f t="shared" si="14"/>
        <v>0.27604166666666669</v>
      </c>
      <c r="H239" s="5">
        <f t="shared" si="15"/>
        <v>0.15229885057471265</v>
      </c>
    </row>
    <row r="240" spans="1:8" x14ac:dyDescent="0.3">
      <c r="A240" s="2">
        <f t="shared" si="12"/>
        <v>2</v>
      </c>
      <c r="B240" s="2">
        <f t="shared" si="13"/>
        <v>8</v>
      </c>
      <c r="C240" s="1">
        <v>44982</v>
      </c>
      <c r="D240" s="3">
        <v>118</v>
      </c>
      <c r="E240">
        <f>VLOOKUP(B240,WAU!$A:$C,3,0)</f>
        <v>384</v>
      </c>
      <c r="F240">
        <f>VLOOKUP(A240,MAU!$A:$C,3,0)</f>
        <v>696</v>
      </c>
      <c r="G240" s="5">
        <f t="shared" si="14"/>
        <v>0.30729166666666669</v>
      </c>
      <c r="H240" s="5">
        <f t="shared" si="15"/>
        <v>0.16954022988505746</v>
      </c>
    </row>
    <row r="241" spans="1:8" x14ac:dyDescent="0.3">
      <c r="A241" s="2">
        <f t="shared" si="12"/>
        <v>2</v>
      </c>
      <c r="B241" s="2">
        <f t="shared" si="13"/>
        <v>8</v>
      </c>
      <c r="C241" s="1">
        <v>44983</v>
      </c>
      <c r="D241" s="3">
        <v>127</v>
      </c>
      <c r="E241">
        <f>VLOOKUP(B241,WAU!$A:$C,3,0)</f>
        <v>384</v>
      </c>
      <c r="F241">
        <f>VLOOKUP(A241,MAU!$A:$C,3,0)</f>
        <v>696</v>
      </c>
      <c r="G241" s="5">
        <f t="shared" si="14"/>
        <v>0.33072916666666669</v>
      </c>
      <c r="H241" s="5">
        <f t="shared" si="15"/>
        <v>0.18247126436781611</v>
      </c>
    </row>
    <row r="242" spans="1:8" x14ac:dyDescent="0.3">
      <c r="A242" s="2">
        <f t="shared" si="12"/>
        <v>2</v>
      </c>
      <c r="B242" s="2">
        <f t="shared" si="13"/>
        <v>9</v>
      </c>
      <c r="C242" s="1">
        <v>44984</v>
      </c>
      <c r="D242" s="3">
        <v>104</v>
      </c>
      <c r="E242">
        <f>VLOOKUP(B242,WAU!$A:$C,3,0)</f>
        <v>611</v>
      </c>
      <c r="F242">
        <f>VLOOKUP(A242,MAU!$A:$C,3,0)</f>
        <v>696</v>
      </c>
      <c r="G242" s="5">
        <f t="shared" si="14"/>
        <v>0.1702127659574468</v>
      </c>
      <c r="H242" s="5">
        <f t="shared" si="15"/>
        <v>0.14942528735632185</v>
      </c>
    </row>
    <row r="243" spans="1:8" x14ac:dyDescent="0.3">
      <c r="A243" s="2">
        <f t="shared" si="12"/>
        <v>2</v>
      </c>
      <c r="B243" s="2">
        <f t="shared" si="13"/>
        <v>9</v>
      </c>
      <c r="C243" s="1">
        <v>44985</v>
      </c>
      <c r="D243" s="3">
        <v>131</v>
      </c>
      <c r="E243">
        <f>VLOOKUP(B243,WAU!$A:$C,3,0)</f>
        <v>611</v>
      </c>
      <c r="F243">
        <f>VLOOKUP(A243,MAU!$A:$C,3,0)</f>
        <v>696</v>
      </c>
      <c r="G243" s="5">
        <f t="shared" si="14"/>
        <v>0.2144026186579378</v>
      </c>
      <c r="H243" s="5">
        <f t="shared" si="15"/>
        <v>0.18821839080459771</v>
      </c>
    </row>
    <row r="244" spans="1:8" x14ac:dyDescent="0.3">
      <c r="A244" s="2">
        <f t="shared" si="12"/>
        <v>3</v>
      </c>
      <c r="B244" s="2">
        <f t="shared" si="13"/>
        <v>9</v>
      </c>
      <c r="C244" s="1">
        <v>44986</v>
      </c>
      <c r="D244" s="3">
        <v>130</v>
      </c>
      <c r="E244">
        <f>VLOOKUP(B244,WAU!$A:$C,3,0)</f>
        <v>611</v>
      </c>
      <c r="F244">
        <f>VLOOKUP(A244,MAU!$A:$C,3,0)</f>
        <v>1544</v>
      </c>
      <c r="G244" s="5">
        <f t="shared" si="14"/>
        <v>0.21276595744680851</v>
      </c>
      <c r="H244" s="5">
        <f t="shared" si="15"/>
        <v>8.4196891191709838E-2</v>
      </c>
    </row>
    <row r="245" spans="1:8" x14ac:dyDescent="0.3">
      <c r="A245" s="2">
        <f t="shared" si="12"/>
        <v>3</v>
      </c>
      <c r="B245" s="2">
        <f t="shared" si="13"/>
        <v>9</v>
      </c>
      <c r="C245" s="1">
        <v>44987</v>
      </c>
      <c r="D245" s="3">
        <v>138</v>
      </c>
      <c r="E245">
        <f>VLOOKUP(B245,WAU!$A:$C,3,0)</f>
        <v>611</v>
      </c>
      <c r="F245">
        <f>VLOOKUP(A245,MAU!$A:$C,3,0)</f>
        <v>1544</v>
      </c>
      <c r="G245" s="5">
        <f t="shared" si="14"/>
        <v>0.22585924713584288</v>
      </c>
      <c r="H245" s="5">
        <f t="shared" si="15"/>
        <v>8.937823834196891E-2</v>
      </c>
    </row>
    <row r="246" spans="1:8" x14ac:dyDescent="0.3">
      <c r="A246" s="2">
        <f t="shared" si="12"/>
        <v>3</v>
      </c>
      <c r="B246" s="2">
        <f t="shared" si="13"/>
        <v>9</v>
      </c>
      <c r="C246" s="1">
        <v>44988</v>
      </c>
      <c r="D246" s="3">
        <v>167</v>
      </c>
      <c r="E246">
        <f>VLOOKUP(B246,WAU!$A:$C,3,0)</f>
        <v>611</v>
      </c>
      <c r="F246">
        <f>VLOOKUP(A246,MAU!$A:$C,3,0)</f>
        <v>1544</v>
      </c>
      <c r="G246" s="5">
        <f t="shared" si="14"/>
        <v>0.27332242225859249</v>
      </c>
      <c r="H246" s="5">
        <f t="shared" si="15"/>
        <v>0.10816062176165803</v>
      </c>
    </row>
    <row r="247" spans="1:8" x14ac:dyDescent="0.3">
      <c r="A247" s="2">
        <f t="shared" si="12"/>
        <v>3</v>
      </c>
      <c r="B247" s="2">
        <f t="shared" si="13"/>
        <v>9</v>
      </c>
      <c r="C247" s="1">
        <v>44989</v>
      </c>
      <c r="D247" s="3">
        <v>170</v>
      </c>
      <c r="E247">
        <f>VLOOKUP(B247,WAU!$A:$C,3,0)</f>
        <v>611</v>
      </c>
      <c r="F247">
        <f>VLOOKUP(A247,MAU!$A:$C,3,0)</f>
        <v>1544</v>
      </c>
      <c r="G247" s="5">
        <f t="shared" si="14"/>
        <v>0.27823240589198034</v>
      </c>
      <c r="H247" s="5">
        <f t="shared" si="15"/>
        <v>0.11010362694300518</v>
      </c>
    </row>
    <row r="248" spans="1:8" x14ac:dyDescent="0.3">
      <c r="A248" s="2">
        <f t="shared" si="12"/>
        <v>3</v>
      </c>
      <c r="B248" s="2">
        <f t="shared" si="13"/>
        <v>9</v>
      </c>
      <c r="C248" s="1">
        <v>44990</v>
      </c>
      <c r="D248" s="3">
        <v>165</v>
      </c>
      <c r="E248">
        <f>VLOOKUP(B248,WAU!$A:$C,3,0)</f>
        <v>611</v>
      </c>
      <c r="F248">
        <f>VLOOKUP(A248,MAU!$A:$C,3,0)</f>
        <v>1544</v>
      </c>
      <c r="G248" s="5">
        <f t="shared" si="14"/>
        <v>0.27004909983633391</v>
      </c>
      <c r="H248" s="5">
        <f t="shared" si="15"/>
        <v>0.10686528497409327</v>
      </c>
    </row>
    <row r="249" spans="1:8" x14ac:dyDescent="0.3">
      <c r="A249" s="2">
        <f t="shared" si="12"/>
        <v>3</v>
      </c>
      <c r="B249" s="2">
        <f t="shared" si="13"/>
        <v>10</v>
      </c>
      <c r="C249" s="1">
        <v>44991</v>
      </c>
      <c r="D249" s="3">
        <v>149</v>
      </c>
      <c r="E249">
        <f>VLOOKUP(B249,WAU!$A:$C,3,0)</f>
        <v>712</v>
      </c>
      <c r="F249">
        <f>VLOOKUP(A249,MAU!$A:$C,3,0)</f>
        <v>1544</v>
      </c>
      <c r="G249" s="5">
        <f t="shared" si="14"/>
        <v>0.20926966292134833</v>
      </c>
      <c r="H249" s="5">
        <f t="shared" si="15"/>
        <v>9.6502590673575125E-2</v>
      </c>
    </row>
    <row r="250" spans="1:8" x14ac:dyDescent="0.3">
      <c r="A250" s="2">
        <f t="shared" si="12"/>
        <v>3</v>
      </c>
      <c r="B250" s="2">
        <f t="shared" si="13"/>
        <v>10</v>
      </c>
      <c r="C250" s="1">
        <v>44992</v>
      </c>
      <c r="D250" s="3">
        <v>151</v>
      </c>
      <c r="E250">
        <f>VLOOKUP(B250,WAU!$A:$C,3,0)</f>
        <v>712</v>
      </c>
      <c r="F250">
        <f>VLOOKUP(A250,MAU!$A:$C,3,0)</f>
        <v>1544</v>
      </c>
      <c r="G250" s="5">
        <f t="shared" si="14"/>
        <v>0.21207865168539325</v>
      </c>
      <c r="H250" s="5">
        <f t="shared" si="15"/>
        <v>9.7797927461139897E-2</v>
      </c>
    </row>
    <row r="251" spans="1:8" x14ac:dyDescent="0.3">
      <c r="A251" s="2">
        <f t="shared" si="12"/>
        <v>3</v>
      </c>
      <c r="B251" s="2">
        <f t="shared" si="13"/>
        <v>10</v>
      </c>
      <c r="C251" s="1">
        <v>44993</v>
      </c>
      <c r="D251" s="3">
        <v>173</v>
      </c>
      <c r="E251">
        <f>VLOOKUP(B251,WAU!$A:$C,3,0)</f>
        <v>712</v>
      </c>
      <c r="F251">
        <f>VLOOKUP(A251,MAU!$A:$C,3,0)</f>
        <v>1544</v>
      </c>
      <c r="G251" s="5">
        <f t="shared" si="14"/>
        <v>0.24297752808988765</v>
      </c>
      <c r="H251" s="5">
        <f t="shared" si="15"/>
        <v>0.11204663212435233</v>
      </c>
    </row>
    <row r="252" spans="1:8" x14ac:dyDescent="0.3">
      <c r="A252" s="2">
        <f t="shared" si="12"/>
        <v>3</v>
      </c>
      <c r="B252" s="2">
        <f t="shared" si="13"/>
        <v>10</v>
      </c>
      <c r="C252" s="1">
        <v>44994</v>
      </c>
      <c r="D252" s="3">
        <v>150</v>
      </c>
      <c r="E252">
        <f>VLOOKUP(B252,WAU!$A:$C,3,0)</f>
        <v>712</v>
      </c>
      <c r="F252">
        <f>VLOOKUP(A252,MAU!$A:$C,3,0)</f>
        <v>1544</v>
      </c>
      <c r="G252" s="5">
        <f t="shared" si="14"/>
        <v>0.21067415730337077</v>
      </c>
      <c r="H252" s="5">
        <f t="shared" si="15"/>
        <v>9.7150259067357511E-2</v>
      </c>
    </row>
    <row r="253" spans="1:8" x14ac:dyDescent="0.3">
      <c r="A253" s="2">
        <f t="shared" si="12"/>
        <v>3</v>
      </c>
      <c r="B253" s="2">
        <f t="shared" si="13"/>
        <v>10</v>
      </c>
      <c r="C253" s="1">
        <v>44995</v>
      </c>
      <c r="D253" s="3">
        <v>162</v>
      </c>
      <c r="E253">
        <f>VLOOKUP(B253,WAU!$A:$C,3,0)</f>
        <v>712</v>
      </c>
      <c r="F253">
        <f>VLOOKUP(A253,MAU!$A:$C,3,0)</f>
        <v>1544</v>
      </c>
      <c r="G253" s="5">
        <f t="shared" si="14"/>
        <v>0.22752808988764045</v>
      </c>
      <c r="H253" s="5">
        <f t="shared" si="15"/>
        <v>0.10492227979274611</v>
      </c>
    </row>
    <row r="254" spans="1:8" x14ac:dyDescent="0.3">
      <c r="A254" s="2">
        <f t="shared" si="12"/>
        <v>3</v>
      </c>
      <c r="B254" s="2">
        <f t="shared" si="13"/>
        <v>10</v>
      </c>
      <c r="C254" s="1">
        <v>44996</v>
      </c>
      <c r="D254" s="3">
        <v>175</v>
      </c>
      <c r="E254">
        <f>VLOOKUP(B254,WAU!$A:$C,3,0)</f>
        <v>712</v>
      </c>
      <c r="F254">
        <f>VLOOKUP(A254,MAU!$A:$C,3,0)</f>
        <v>1544</v>
      </c>
      <c r="G254" s="5">
        <f t="shared" si="14"/>
        <v>0.24578651685393257</v>
      </c>
      <c r="H254" s="5">
        <f t="shared" si="15"/>
        <v>0.1133419689119171</v>
      </c>
    </row>
    <row r="255" spans="1:8" x14ac:dyDescent="0.3">
      <c r="A255" s="2">
        <f t="shared" si="12"/>
        <v>3</v>
      </c>
      <c r="B255" s="2">
        <f t="shared" si="13"/>
        <v>10</v>
      </c>
      <c r="C255" s="1">
        <v>44997</v>
      </c>
      <c r="D255" s="3">
        <v>176</v>
      </c>
      <c r="E255">
        <f>VLOOKUP(B255,WAU!$A:$C,3,0)</f>
        <v>712</v>
      </c>
      <c r="F255">
        <f>VLOOKUP(A255,MAU!$A:$C,3,0)</f>
        <v>1544</v>
      </c>
      <c r="G255" s="5">
        <f t="shared" si="14"/>
        <v>0.24719101123595505</v>
      </c>
      <c r="H255" s="5">
        <f t="shared" si="15"/>
        <v>0.11398963730569948</v>
      </c>
    </row>
    <row r="256" spans="1:8" x14ac:dyDescent="0.3">
      <c r="A256" s="2">
        <f t="shared" si="12"/>
        <v>3</v>
      </c>
      <c r="B256" s="2">
        <f t="shared" si="13"/>
        <v>11</v>
      </c>
      <c r="C256" s="1">
        <v>44998</v>
      </c>
      <c r="D256" s="3">
        <v>180</v>
      </c>
      <c r="E256">
        <f>VLOOKUP(B256,WAU!$A:$C,3,0)</f>
        <v>772</v>
      </c>
      <c r="F256">
        <f>VLOOKUP(A256,MAU!$A:$C,3,0)</f>
        <v>1544</v>
      </c>
      <c r="G256" s="5">
        <f t="shared" si="14"/>
        <v>0.23316062176165803</v>
      </c>
      <c r="H256" s="5">
        <f t="shared" si="15"/>
        <v>0.11658031088082901</v>
      </c>
    </row>
    <row r="257" spans="1:8" x14ac:dyDescent="0.3">
      <c r="A257" s="2">
        <f t="shared" si="12"/>
        <v>3</v>
      </c>
      <c r="B257" s="2">
        <f t="shared" si="13"/>
        <v>11</v>
      </c>
      <c r="C257" s="1">
        <v>44999</v>
      </c>
      <c r="D257" s="3">
        <v>168</v>
      </c>
      <c r="E257">
        <f>VLOOKUP(B257,WAU!$A:$C,3,0)</f>
        <v>772</v>
      </c>
      <c r="F257">
        <f>VLOOKUP(A257,MAU!$A:$C,3,0)</f>
        <v>1544</v>
      </c>
      <c r="G257" s="5">
        <f t="shared" si="14"/>
        <v>0.21761658031088082</v>
      </c>
      <c r="H257" s="5">
        <f t="shared" si="15"/>
        <v>0.10880829015544041</v>
      </c>
    </row>
    <row r="258" spans="1:8" x14ac:dyDescent="0.3">
      <c r="A258" s="2">
        <f t="shared" si="12"/>
        <v>3</v>
      </c>
      <c r="B258" s="2">
        <f t="shared" si="13"/>
        <v>11</v>
      </c>
      <c r="C258" s="1">
        <v>45000</v>
      </c>
      <c r="D258" s="3">
        <v>185</v>
      </c>
      <c r="E258">
        <f>VLOOKUP(B258,WAU!$A:$C,3,0)</f>
        <v>772</v>
      </c>
      <c r="F258">
        <f>VLOOKUP(A258,MAU!$A:$C,3,0)</f>
        <v>1544</v>
      </c>
      <c r="G258" s="5">
        <f t="shared" si="14"/>
        <v>0.23963730569948186</v>
      </c>
      <c r="H258" s="5">
        <f t="shared" si="15"/>
        <v>0.11981865284974093</v>
      </c>
    </row>
    <row r="259" spans="1:8" x14ac:dyDescent="0.3">
      <c r="A259" s="2">
        <f t="shared" ref="A259:A304" si="16">MONTH(C259)</f>
        <v>3</v>
      </c>
      <c r="B259" s="2">
        <f t="shared" ref="B259:B304" si="17">_xlfn.ISOWEEKNUM(C259)</f>
        <v>11</v>
      </c>
      <c r="C259" s="1">
        <v>45001</v>
      </c>
      <c r="D259" s="3">
        <v>181</v>
      </c>
      <c r="E259">
        <f>VLOOKUP(B259,WAU!$A:$C,3,0)</f>
        <v>772</v>
      </c>
      <c r="F259">
        <f>VLOOKUP(A259,MAU!$A:$C,3,0)</f>
        <v>1544</v>
      </c>
      <c r="G259" s="5">
        <f t="shared" ref="G259:G304" si="18">D259/E259</f>
        <v>0.2344559585492228</v>
      </c>
      <c r="H259" s="5">
        <f t="shared" ref="H259:H304" si="19">D259/F259</f>
        <v>0.1172279792746114</v>
      </c>
    </row>
    <row r="260" spans="1:8" x14ac:dyDescent="0.3">
      <c r="A260" s="2">
        <f t="shared" si="16"/>
        <v>3</v>
      </c>
      <c r="B260" s="2">
        <f t="shared" si="17"/>
        <v>11</v>
      </c>
      <c r="C260" s="1">
        <v>45002</v>
      </c>
      <c r="D260" s="3">
        <v>172</v>
      </c>
      <c r="E260">
        <f>VLOOKUP(B260,WAU!$A:$C,3,0)</f>
        <v>772</v>
      </c>
      <c r="F260">
        <f>VLOOKUP(A260,MAU!$A:$C,3,0)</f>
        <v>1544</v>
      </c>
      <c r="G260" s="5">
        <f t="shared" si="18"/>
        <v>0.22279792746113988</v>
      </c>
      <c r="H260" s="5">
        <f t="shared" si="19"/>
        <v>0.11139896373056994</v>
      </c>
    </row>
    <row r="261" spans="1:8" x14ac:dyDescent="0.3">
      <c r="A261" s="2">
        <f t="shared" si="16"/>
        <v>3</v>
      </c>
      <c r="B261" s="2">
        <f t="shared" si="17"/>
        <v>11</v>
      </c>
      <c r="C261" s="1">
        <v>45003</v>
      </c>
      <c r="D261" s="3">
        <v>187</v>
      </c>
      <c r="E261">
        <f>VLOOKUP(B261,WAU!$A:$C,3,0)</f>
        <v>772</v>
      </c>
      <c r="F261">
        <f>VLOOKUP(A261,MAU!$A:$C,3,0)</f>
        <v>1544</v>
      </c>
      <c r="G261" s="5">
        <f t="shared" si="18"/>
        <v>0.2422279792746114</v>
      </c>
      <c r="H261" s="5">
        <f t="shared" si="19"/>
        <v>0.1211139896373057</v>
      </c>
    </row>
    <row r="262" spans="1:8" x14ac:dyDescent="0.3">
      <c r="A262" s="2">
        <f t="shared" si="16"/>
        <v>3</v>
      </c>
      <c r="B262" s="2">
        <f t="shared" si="17"/>
        <v>11</v>
      </c>
      <c r="C262" s="1">
        <v>45004</v>
      </c>
      <c r="D262" s="3">
        <v>218</v>
      </c>
      <c r="E262">
        <f>VLOOKUP(B262,WAU!$A:$C,3,0)</f>
        <v>772</v>
      </c>
      <c r="F262">
        <f>VLOOKUP(A262,MAU!$A:$C,3,0)</f>
        <v>1544</v>
      </c>
      <c r="G262" s="5">
        <f t="shared" si="18"/>
        <v>0.28238341968911918</v>
      </c>
      <c r="H262" s="5">
        <f t="shared" si="19"/>
        <v>0.14119170984455959</v>
      </c>
    </row>
    <row r="263" spans="1:8" x14ac:dyDescent="0.3">
      <c r="A263" s="2">
        <f t="shared" si="16"/>
        <v>3</v>
      </c>
      <c r="B263" s="2">
        <f t="shared" si="17"/>
        <v>12</v>
      </c>
      <c r="C263" s="1">
        <v>45005</v>
      </c>
      <c r="D263" s="3">
        <v>184</v>
      </c>
      <c r="E263">
        <f>VLOOKUP(B263,WAU!$A:$C,3,0)</f>
        <v>656</v>
      </c>
      <c r="F263">
        <f>VLOOKUP(A263,MAU!$A:$C,3,0)</f>
        <v>1544</v>
      </c>
      <c r="G263" s="5">
        <f t="shared" si="18"/>
        <v>0.28048780487804881</v>
      </c>
      <c r="H263" s="5">
        <f t="shared" si="19"/>
        <v>0.11917098445595854</v>
      </c>
    </row>
    <row r="264" spans="1:8" x14ac:dyDescent="0.3">
      <c r="A264" s="2">
        <f t="shared" si="16"/>
        <v>3</v>
      </c>
      <c r="B264" s="2">
        <f t="shared" si="17"/>
        <v>12</v>
      </c>
      <c r="C264" s="1">
        <v>45006</v>
      </c>
      <c r="D264" s="3">
        <v>194</v>
      </c>
      <c r="E264">
        <f>VLOOKUP(B264,WAU!$A:$C,3,0)</f>
        <v>656</v>
      </c>
      <c r="F264">
        <f>VLOOKUP(A264,MAU!$A:$C,3,0)</f>
        <v>1544</v>
      </c>
      <c r="G264" s="5">
        <f t="shared" si="18"/>
        <v>0.29573170731707316</v>
      </c>
      <c r="H264" s="5">
        <f t="shared" si="19"/>
        <v>0.12564766839378239</v>
      </c>
    </row>
    <row r="265" spans="1:8" x14ac:dyDescent="0.3">
      <c r="A265" s="2">
        <f t="shared" si="16"/>
        <v>3</v>
      </c>
      <c r="B265" s="2">
        <f t="shared" si="17"/>
        <v>12</v>
      </c>
      <c r="C265" s="1">
        <v>45007</v>
      </c>
      <c r="D265" s="3">
        <v>131</v>
      </c>
      <c r="E265">
        <f>VLOOKUP(B265,WAU!$A:$C,3,0)</f>
        <v>656</v>
      </c>
      <c r="F265">
        <f>VLOOKUP(A265,MAU!$A:$C,3,0)</f>
        <v>1544</v>
      </c>
      <c r="G265" s="5">
        <f t="shared" si="18"/>
        <v>0.19969512195121952</v>
      </c>
      <c r="H265" s="5">
        <f t="shared" si="19"/>
        <v>8.4844559585492224E-2</v>
      </c>
    </row>
    <row r="266" spans="1:8" x14ac:dyDescent="0.3">
      <c r="A266" s="2">
        <f t="shared" si="16"/>
        <v>3</v>
      </c>
      <c r="B266" s="2">
        <f t="shared" si="17"/>
        <v>12</v>
      </c>
      <c r="C266" s="1">
        <v>45008</v>
      </c>
      <c r="D266" s="3">
        <v>176</v>
      </c>
      <c r="E266">
        <f>VLOOKUP(B266,WAU!$A:$C,3,0)</f>
        <v>656</v>
      </c>
      <c r="F266">
        <f>VLOOKUP(A266,MAU!$A:$C,3,0)</f>
        <v>1544</v>
      </c>
      <c r="G266" s="5">
        <f t="shared" si="18"/>
        <v>0.26829268292682928</v>
      </c>
      <c r="H266" s="5">
        <f t="shared" si="19"/>
        <v>0.11398963730569948</v>
      </c>
    </row>
    <row r="267" spans="1:8" x14ac:dyDescent="0.3">
      <c r="A267" s="2">
        <f t="shared" si="16"/>
        <v>3</v>
      </c>
      <c r="B267" s="2">
        <f t="shared" si="17"/>
        <v>12</v>
      </c>
      <c r="C267" s="1">
        <v>45009</v>
      </c>
      <c r="D267" s="3">
        <v>136</v>
      </c>
      <c r="E267">
        <f>VLOOKUP(B267,WAU!$A:$C,3,0)</f>
        <v>656</v>
      </c>
      <c r="F267">
        <f>VLOOKUP(A267,MAU!$A:$C,3,0)</f>
        <v>1544</v>
      </c>
      <c r="G267" s="5">
        <f t="shared" si="18"/>
        <v>0.2073170731707317</v>
      </c>
      <c r="H267" s="5">
        <f t="shared" si="19"/>
        <v>8.8082901554404139E-2</v>
      </c>
    </row>
    <row r="268" spans="1:8" x14ac:dyDescent="0.3">
      <c r="A268" s="2">
        <f t="shared" si="16"/>
        <v>3</v>
      </c>
      <c r="B268" s="2">
        <f t="shared" si="17"/>
        <v>12</v>
      </c>
      <c r="C268" s="1">
        <v>45010</v>
      </c>
      <c r="D268" s="3">
        <v>153</v>
      </c>
      <c r="E268">
        <f>VLOOKUP(B268,WAU!$A:$C,3,0)</f>
        <v>656</v>
      </c>
      <c r="F268">
        <f>VLOOKUP(A268,MAU!$A:$C,3,0)</f>
        <v>1544</v>
      </c>
      <c r="G268" s="5">
        <f t="shared" si="18"/>
        <v>0.23323170731707318</v>
      </c>
      <c r="H268" s="5">
        <f t="shared" si="19"/>
        <v>9.9093264248704668E-2</v>
      </c>
    </row>
    <row r="269" spans="1:8" x14ac:dyDescent="0.3">
      <c r="A269" s="2">
        <f t="shared" si="16"/>
        <v>3</v>
      </c>
      <c r="B269" s="2">
        <f t="shared" si="17"/>
        <v>12</v>
      </c>
      <c r="C269" s="1">
        <v>45011</v>
      </c>
      <c r="D269" s="3">
        <v>159</v>
      </c>
      <c r="E269">
        <f>VLOOKUP(B269,WAU!$A:$C,3,0)</f>
        <v>656</v>
      </c>
      <c r="F269">
        <f>VLOOKUP(A269,MAU!$A:$C,3,0)</f>
        <v>1544</v>
      </c>
      <c r="G269" s="5">
        <f t="shared" si="18"/>
        <v>0.2423780487804878</v>
      </c>
      <c r="H269" s="5">
        <f t="shared" si="19"/>
        <v>0.10297927461139897</v>
      </c>
    </row>
    <row r="270" spans="1:8" x14ac:dyDescent="0.3">
      <c r="A270" s="2">
        <f t="shared" si="16"/>
        <v>3</v>
      </c>
      <c r="B270" s="2">
        <f t="shared" si="17"/>
        <v>13</v>
      </c>
      <c r="C270" s="1">
        <v>45012</v>
      </c>
      <c r="D270" s="3">
        <v>143</v>
      </c>
      <c r="E270">
        <f>VLOOKUP(B270,WAU!$A:$C,3,0)</f>
        <v>661</v>
      </c>
      <c r="F270">
        <f>VLOOKUP(A270,MAU!$A:$C,3,0)</f>
        <v>1544</v>
      </c>
      <c r="G270" s="5">
        <f t="shared" si="18"/>
        <v>0.21633888048411498</v>
      </c>
      <c r="H270" s="5">
        <f t="shared" si="19"/>
        <v>9.2616580310880825E-2</v>
      </c>
    </row>
    <row r="271" spans="1:8" x14ac:dyDescent="0.3">
      <c r="A271" s="2">
        <f t="shared" si="16"/>
        <v>3</v>
      </c>
      <c r="B271" s="2">
        <f t="shared" si="17"/>
        <v>13</v>
      </c>
      <c r="C271" s="1">
        <v>45013</v>
      </c>
      <c r="D271" s="3">
        <v>156</v>
      </c>
      <c r="E271">
        <f>VLOOKUP(B271,WAU!$A:$C,3,0)</f>
        <v>661</v>
      </c>
      <c r="F271">
        <f>VLOOKUP(A271,MAU!$A:$C,3,0)</f>
        <v>1544</v>
      </c>
      <c r="G271" s="5">
        <f t="shared" si="18"/>
        <v>0.23600605143721634</v>
      </c>
      <c r="H271" s="5">
        <f t="shared" si="19"/>
        <v>0.10103626943005181</v>
      </c>
    </row>
    <row r="272" spans="1:8" x14ac:dyDescent="0.3">
      <c r="A272" s="2">
        <f t="shared" si="16"/>
        <v>3</v>
      </c>
      <c r="B272" s="2">
        <f t="shared" si="17"/>
        <v>13</v>
      </c>
      <c r="C272" s="1">
        <v>45014</v>
      </c>
      <c r="D272" s="3">
        <v>151</v>
      </c>
      <c r="E272">
        <f>VLOOKUP(B272,WAU!$A:$C,3,0)</f>
        <v>661</v>
      </c>
      <c r="F272">
        <f>VLOOKUP(A272,MAU!$A:$C,3,0)</f>
        <v>1544</v>
      </c>
      <c r="G272" s="5">
        <f t="shared" si="18"/>
        <v>0.22844175491679275</v>
      </c>
      <c r="H272" s="5">
        <f t="shared" si="19"/>
        <v>9.7797927461139897E-2</v>
      </c>
    </row>
    <row r="273" spans="1:8" x14ac:dyDescent="0.3">
      <c r="A273" s="2">
        <f t="shared" si="16"/>
        <v>3</v>
      </c>
      <c r="B273" s="2">
        <f t="shared" si="17"/>
        <v>13</v>
      </c>
      <c r="C273" s="1">
        <v>45015</v>
      </c>
      <c r="D273" s="3">
        <v>148</v>
      </c>
      <c r="E273">
        <f>VLOOKUP(B273,WAU!$A:$C,3,0)</f>
        <v>661</v>
      </c>
      <c r="F273">
        <f>VLOOKUP(A273,MAU!$A:$C,3,0)</f>
        <v>1544</v>
      </c>
      <c r="G273" s="5">
        <f t="shared" si="18"/>
        <v>0.22390317700453857</v>
      </c>
      <c r="H273" s="5">
        <f t="shared" si="19"/>
        <v>9.585492227979274E-2</v>
      </c>
    </row>
    <row r="274" spans="1:8" x14ac:dyDescent="0.3">
      <c r="A274" s="2">
        <f t="shared" si="16"/>
        <v>3</v>
      </c>
      <c r="B274" s="2">
        <f t="shared" si="17"/>
        <v>13</v>
      </c>
      <c r="C274" s="1">
        <v>45016</v>
      </c>
      <c r="D274" s="3">
        <v>184</v>
      </c>
      <c r="E274">
        <f>VLOOKUP(B274,WAU!$A:$C,3,0)</f>
        <v>661</v>
      </c>
      <c r="F274">
        <f>VLOOKUP(A274,MAU!$A:$C,3,0)</f>
        <v>1544</v>
      </c>
      <c r="G274" s="5">
        <f t="shared" si="18"/>
        <v>0.2783661119515885</v>
      </c>
      <c r="H274" s="5">
        <f t="shared" si="19"/>
        <v>0.11917098445595854</v>
      </c>
    </row>
    <row r="275" spans="1:8" x14ac:dyDescent="0.3">
      <c r="A275" s="2">
        <f t="shared" si="16"/>
        <v>4</v>
      </c>
      <c r="B275" s="2">
        <f t="shared" si="17"/>
        <v>13</v>
      </c>
      <c r="C275" s="1">
        <v>45017</v>
      </c>
      <c r="D275" s="3">
        <v>204</v>
      </c>
      <c r="E275">
        <f>VLOOKUP(B275,WAU!$A:$C,3,0)</f>
        <v>661</v>
      </c>
      <c r="F275">
        <f>VLOOKUP(A275,MAU!$A:$C,3,0)</f>
        <v>1027</v>
      </c>
      <c r="G275" s="5">
        <f t="shared" si="18"/>
        <v>0.30862329803328292</v>
      </c>
      <c r="H275" s="5">
        <f t="shared" si="19"/>
        <v>0.19863680623174293</v>
      </c>
    </row>
    <row r="276" spans="1:8" x14ac:dyDescent="0.3">
      <c r="A276" s="2">
        <f t="shared" si="16"/>
        <v>4</v>
      </c>
      <c r="B276" s="2">
        <f t="shared" si="17"/>
        <v>13</v>
      </c>
      <c r="C276" s="1">
        <v>45018</v>
      </c>
      <c r="D276" s="3">
        <v>215</v>
      </c>
      <c r="E276">
        <f>VLOOKUP(B276,WAU!$A:$C,3,0)</f>
        <v>661</v>
      </c>
      <c r="F276">
        <f>VLOOKUP(A276,MAU!$A:$C,3,0)</f>
        <v>1027</v>
      </c>
      <c r="G276" s="5">
        <f t="shared" si="18"/>
        <v>0.32526475037821484</v>
      </c>
      <c r="H276" s="5">
        <f t="shared" si="19"/>
        <v>0.20934761441090555</v>
      </c>
    </row>
    <row r="277" spans="1:8" x14ac:dyDescent="0.3">
      <c r="A277" s="2">
        <f t="shared" si="16"/>
        <v>4</v>
      </c>
      <c r="B277" s="2">
        <f t="shared" si="17"/>
        <v>14</v>
      </c>
      <c r="C277" s="1">
        <v>45019</v>
      </c>
      <c r="D277" s="3">
        <v>198</v>
      </c>
      <c r="E277">
        <f>VLOOKUP(B277,WAU!$A:$C,3,0)</f>
        <v>699</v>
      </c>
      <c r="F277">
        <f>VLOOKUP(A277,MAU!$A:$C,3,0)</f>
        <v>1027</v>
      </c>
      <c r="G277" s="5">
        <f t="shared" si="18"/>
        <v>0.2832618025751073</v>
      </c>
      <c r="H277" s="5">
        <f t="shared" si="19"/>
        <v>0.19279454722492698</v>
      </c>
    </row>
    <row r="278" spans="1:8" x14ac:dyDescent="0.3">
      <c r="A278" s="2">
        <f t="shared" si="16"/>
        <v>4</v>
      </c>
      <c r="B278" s="2">
        <f t="shared" si="17"/>
        <v>14</v>
      </c>
      <c r="C278" s="1">
        <v>45020</v>
      </c>
      <c r="D278" s="3">
        <v>199</v>
      </c>
      <c r="E278">
        <f>VLOOKUP(B278,WAU!$A:$C,3,0)</f>
        <v>699</v>
      </c>
      <c r="F278">
        <f>VLOOKUP(A278,MAU!$A:$C,3,0)</f>
        <v>1027</v>
      </c>
      <c r="G278" s="5">
        <f t="shared" si="18"/>
        <v>0.28469241773962806</v>
      </c>
      <c r="H278" s="5">
        <f t="shared" si="19"/>
        <v>0.19376825705939629</v>
      </c>
    </row>
    <row r="279" spans="1:8" x14ac:dyDescent="0.3">
      <c r="A279" s="2">
        <f t="shared" si="16"/>
        <v>4</v>
      </c>
      <c r="B279" s="2">
        <f t="shared" si="17"/>
        <v>14</v>
      </c>
      <c r="C279" s="1">
        <v>45021</v>
      </c>
      <c r="D279" s="3">
        <v>188</v>
      </c>
      <c r="E279">
        <f>VLOOKUP(B279,WAU!$A:$C,3,0)</f>
        <v>699</v>
      </c>
      <c r="F279">
        <f>VLOOKUP(A279,MAU!$A:$C,3,0)</f>
        <v>1027</v>
      </c>
      <c r="G279" s="5">
        <f t="shared" si="18"/>
        <v>0.26895565092989987</v>
      </c>
      <c r="H279" s="5">
        <f t="shared" si="19"/>
        <v>0.1830574488802337</v>
      </c>
    </row>
    <row r="280" spans="1:8" x14ac:dyDescent="0.3">
      <c r="A280" s="2">
        <f t="shared" si="16"/>
        <v>4</v>
      </c>
      <c r="B280" s="2">
        <f t="shared" si="17"/>
        <v>14</v>
      </c>
      <c r="C280" s="1">
        <v>45022</v>
      </c>
      <c r="D280" s="3">
        <v>197</v>
      </c>
      <c r="E280">
        <f>VLOOKUP(B280,WAU!$A:$C,3,0)</f>
        <v>699</v>
      </c>
      <c r="F280">
        <f>VLOOKUP(A280,MAU!$A:$C,3,0)</f>
        <v>1027</v>
      </c>
      <c r="G280" s="5">
        <f t="shared" si="18"/>
        <v>0.28183118741058655</v>
      </c>
      <c r="H280" s="5">
        <f t="shared" si="19"/>
        <v>0.19182083739045763</v>
      </c>
    </row>
    <row r="281" spans="1:8" x14ac:dyDescent="0.3">
      <c r="A281" s="2">
        <f t="shared" si="16"/>
        <v>4</v>
      </c>
      <c r="B281" s="2">
        <f t="shared" si="17"/>
        <v>14</v>
      </c>
      <c r="C281" s="1">
        <v>45023</v>
      </c>
      <c r="D281" s="3">
        <v>192</v>
      </c>
      <c r="E281">
        <f>VLOOKUP(B281,WAU!$A:$C,3,0)</f>
        <v>699</v>
      </c>
      <c r="F281">
        <f>VLOOKUP(A281,MAU!$A:$C,3,0)</f>
        <v>1027</v>
      </c>
      <c r="G281" s="5">
        <f t="shared" si="18"/>
        <v>0.27467811158798283</v>
      </c>
      <c r="H281" s="5">
        <f t="shared" si="19"/>
        <v>0.186952288218111</v>
      </c>
    </row>
    <row r="282" spans="1:8" x14ac:dyDescent="0.3">
      <c r="A282" s="2">
        <f t="shared" si="16"/>
        <v>4</v>
      </c>
      <c r="B282" s="2">
        <f t="shared" si="17"/>
        <v>14</v>
      </c>
      <c r="C282" s="1">
        <v>45024</v>
      </c>
      <c r="D282" s="3">
        <v>200</v>
      </c>
      <c r="E282">
        <f>VLOOKUP(B282,WAU!$A:$C,3,0)</f>
        <v>699</v>
      </c>
      <c r="F282">
        <f>VLOOKUP(A282,MAU!$A:$C,3,0)</f>
        <v>1027</v>
      </c>
      <c r="G282" s="5">
        <f t="shared" si="18"/>
        <v>0.28612303290414881</v>
      </c>
      <c r="H282" s="5">
        <f t="shared" si="19"/>
        <v>0.19474196689386564</v>
      </c>
    </row>
    <row r="283" spans="1:8" x14ac:dyDescent="0.3">
      <c r="A283" s="2">
        <f t="shared" si="16"/>
        <v>4</v>
      </c>
      <c r="B283" s="2">
        <f t="shared" si="17"/>
        <v>14</v>
      </c>
      <c r="C283" s="1">
        <v>45025</v>
      </c>
      <c r="D283" s="3">
        <v>192</v>
      </c>
      <c r="E283">
        <f>VLOOKUP(B283,WAU!$A:$C,3,0)</f>
        <v>699</v>
      </c>
      <c r="F283">
        <f>VLOOKUP(A283,MAU!$A:$C,3,0)</f>
        <v>1027</v>
      </c>
      <c r="G283" s="5">
        <f t="shared" si="18"/>
        <v>0.27467811158798283</v>
      </c>
      <c r="H283" s="5">
        <f t="shared" si="19"/>
        <v>0.186952288218111</v>
      </c>
    </row>
    <row r="284" spans="1:8" x14ac:dyDescent="0.3">
      <c r="A284" s="2">
        <f t="shared" si="16"/>
        <v>4</v>
      </c>
      <c r="B284" s="2">
        <f t="shared" si="17"/>
        <v>15</v>
      </c>
      <c r="C284" s="1">
        <v>45026</v>
      </c>
      <c r="D284" s="3">
        <v>172</v>
      </c>
      <c r="E284">
        <f>VLOOKUP(B284,WAU!$A:$C,3,0)</f>
        <v>614</v>
      </c>
      <c r="F284">
        <f>VLOOKUP(A284,MAU!$A:$C,3,0)</f>
        <v>1027</v>
      </c>
      <c r="G284" s="5">
        <f t="shared" si="18"/>
        <v>0.28013029315960913</v>
      </c>
      <c r="H284" s="5">
        <f t="shared" si="19"/>
        <v>0.16747809152872445</v>
      </c>
    </row>
    <row r="285" spans="1:8" x14ac:dyDescent="0.3">
      <c r="A285" s="2">
        <f t="shared" si="16"/>
        <v>4</v>
      </c>
      <c r="B285" s="2">
        <f t="shared" si="17"/>
        <v>15</v>
      </c>
      <c r="C285" s="1">
        <v>45027</v>
      </c>
      <c r="D285" s="3">
        <v>160</v>
      </c>
      <c r="E285">
        <f>VLOOKUP(B285,WAU!$A:$C,3,0)</f>
        <v>614</v>
      </c>
      <c r="F285">
        <f>VLOOKUP(A285,MAU!$A:$C,3,0)</f>
        <v>1027</v>
      </c>
      <c r="G285" s="5">
        <f t="shared" si="18"/>
        <v>0.26058631921824105</v>
      </c>
      <c r="H285" s="5">
        <f t="shared" si="19"/>
        <v>0.15579357351509251</v>
      </c>
    </row>
    <row r="286" spans="1:8" x14ac:dyDescent="0.3">
      <c r="A286" s="2">
        <f t="shared" si="16"/>
        <v>4</v>
      </c>
      <c r="B286" s="2">
        <f t="shared" si="17"/>
        <v>15</v>
      </c>
      <c r="C286" s="1">
        <v>45028</v>
      </c>
      <c r="D286" s="3">
        <v>168</v>
      </c>
      <c r="E286">
        <f>VLOOKUP(B286,WAU!$A:$C,3,0)</f>
        <v>614</v>
      </c>
      <c r="F286">
        <f>VLOOKUP(A286,MAU!$A:$C,3,0)</f>
        <v>1027</v>
      </c>
      <c r="G286" s="5">
        <f t="shared" si="18"/>
        <v>0.2736156351791531</v>
      </c>
      <c r="H286" s="5">
        <f t="shared" si="19"/>
        <v>0.16358325219084713</v>
      </c>
    </row>
    <row r="287" spans="1:8" x14ac:dyDescent="0.3">
      <c r="A287" s="2">
        <f t="shared" si="16"/>
        <v>4</v>
      </c>
      <c r="B287" s="2">
        <f t="shared" si="17"/>
        <v>15</v>
      </c>
      <c r="C287" s="1">
        <v>45029</v>
      </c>
      <c r="D287" s="3">
        <v>171</v>
      </c>
      <c r="E287">
        <f>VLOOKUP(B287,WAU!$A:$C,3,0)</f>
        <v>614</v>
      </c>
      <c r="F287">
        <f>VLOOKUP(A287,MAU!$A:$C,3,0)</f>
        <v>1027</v>
      </c>
      <c r="G287" s="5">
        <f t="shared" si="18"/>
        <v>0.27850162866449513</v>
      </c>
      <c r="H287" s="5">
        <f t="shared" si="19"/>
        <v>0.1665043816942551</v>
      </c>
    </row>
    <row r="288" spans="1:8" x14ac:dyDescent="0.3">
      <c r="A288" s="2">
        <f t="shared" si="16"/>
        <v>4</v>
      </c>
      <c r="B288" s="2">
        <f t="shared" si="17"/>
        <v>15</v>
      </c>
      <c r="C288" s="1">
        <v>45030</v>
      </c>
      <c r="D288" s="3">
        <v>154</v>
      </c>
      <c r="E288">
        <f>VLOOKUP(B288,WAU!$A:$C,3,0)</f>
        <v>614</v>
      </c>
      <c r="F288">
        <f>VLOOKUP(A288,MAU!$A:$C,3,0)</f>
        <v>1027</v>
      </c>
      <c r="G288" s="5">
        <f t="shared" si="18"/>
        <v>0.250814332247557</v>
      </c>
      <c r="H288" s="5">
        <f t="shared" si="19"/>
        <v>0.14995131450827653</v>
      </c>
    </row>
    <row r="289" spans="1:8" x14ac:dyDescent="0.3">
      <c r="A289" s="2">
        <f t="shared" si="16"/>
        <v>4</v>
      </c>
      <c r="B289" s="2">
        <f t="shared" si="17"/>
        <v>15</v>
      </c>
      <c r="C289" s="1">
        <v>45031</v>
      </c>
      <c r="D289" s="3">
        <v>146</v>
      </c>
      <c r="E289">
        <f>VLOOKUP(B289,WAU!$A:$C,3,0)</f>
        <v>614</v>
      </c>
      <c r="F289">
        <f>VLOOKUP(A289,MAU!$A:$C,3,0)</f>
        <v>1027</v>
      </c>
      <c r="G289" s="5">
        <f t="shared" si="18"/>
        <v>0.23778501628664495</v>
      </c>
      <c r="H289" s="5">
        <f t="shared" si="19"/>
        <v>0.14216163583252192</v>
      </c>
    </row>
    <row r="290" spans="1:8" x14ac:dyDescent="0.3">
      <c r="A290" s="2">
        <f t="shared" si="16"/>
        <v>4</v>
      </c>
      <c r="B290" s="2">
        <f t="shared" si="17"/>
        <v>15</v>
      </c>
      <c r="C290" s="1">
        <v>45032</v>
      </c>
      <c r="D290" s="3">
        <v>166</v>
      </c>
      <c r="E290">
        <f>VLOOKUP(B290,WAU!$A:$C,3,0)</f>
        <v>614</v>
      </c>
      <c r="F290">
        <f>VLOOKUP(A290,MAU!$A:$C,3,0)</f>
        <v>1027</v>
      </c>
      <c r="G290" s="5">
        <f t="shared" si="18"/>
        <v>0.27035830618892509</v>
      </c>
      <c r="H290" s="5">
        <f t="shared" si="19"/>
        <v>0.16163583252190847</v>
      </c>
    </row>
    <row r="291" spans="1:8" x14ac:dyDescent="0.3">
      <c r="A291" s="2">
        <f t="shared" si="16"/>
        <v>4</v>
      </c>
      <c r="B291" s="2">
        <f t="shared" si="17"/>
        <v>16</v>
      </c>
      <c r="C291" s="1">
        <v>45033</v>
      </c>
      <c r="D291" s="3">
        <v>134</v>
      </c>
      <c r="E291">
        <f>VLOOKUP(B291,WAU!$A:$C,3,0)</f>
        <v>545</v>
      </c>
      <c r="F291">
        <f>VLOOKUP(A291,MAU!$A:$C,3,0)</f>
        <v>1027</v>
      </c>
      <c r="G291" s="5">
        <f t="shared" si="18"/>
        <v>0.24587155963302754</v>
      </c>
      <c r="H291" s="5">
        <f t="shared" si="19"/>
        <v>0.13047711781888996</v>
      </c>
    </row>
    <row r="292" spans="1:8" x14ac:dyDescent="0.3">
      <c r="A292" s="2">
        <f t="shared" si="16"/>
        <v>4</v>
      </c>
      <c r="B292" s="2">
        <f t="shared" si="17"/>
        <v>16</v>
      </c>
      <c r="C292" s="1">
        <v>45034</v>
      </c>
      <c r="D292" s="3">
        <v>149</v>
      </c>
      <c r="E292">
        <f>VLOOKUP(B292,WAU!$A:$C,3,0)</f>
        <v>545</v>
      </c>
      <c r="F292">
        <f>VLOOKUP(A292,MAU!$A:$C,3,0)</f>
        <v>1027</v>
      </c>
      <c r="G292" s="5">
        <f t="shared" si="18"/>
        <v>0.27339449541284405</v>
      </c>
      <c r="H292" s="5">
        <f t="shared" si="19"/>
        <v>0.1450827653359299</v>
      </c>
    </row>
    <row r="293" spans="1:8" x14ac:dyDescent="0.3">
      <c r="A293" s="2">
        <f t="shared" si="16"/>
        <v>4</v>
      </c>
      <c r="B293" s="2">
        <f t="shared" si="17"/>
        <v>16</v>
      </c>
      <c r="C293" s="1">
        <v>45035</v>
      </c>
      <c r="D293" s="3">
        <v>132</v>
      </c>
      <c r="E293">
        <f>VLOOKUP(B293,WAU!$A:$C,3,0)</f>
        <v>545</v>
      </c>
      <c r="F293">
        <f>VLOOKUP(A293,MAU!$A:$C,3,0)</f>
        <v>1027</v>
      </c>
      <c r="G293" s="5">
        <f t="shared" si="18"/>
        <v>0.24220183486238533</v>
      </c>
      <c r="H293" s="5">
        <f t="shared" si="19"/>
        <v>0.12852969814995133</v>
      </c>
    </row>
    <row r="294" spans="1:8" x14ac:dyDescent="0.3">
      <c r="A294" s="2">
        <f t="shared" si="16"/>
        <v>4</v>
      </c>
      <c r="B294" s="2">
        <f t="shared" si="17"/>
        <v>16</v>
      </c>
      <c r="C294" s="1">
        <v>45036</v>
      </c>
      <c r="D294" s="3">
        <v>131</v>
      </c>
      <c r="E294">
        <f>VLOOKUP(B294,WAU!$A:$C,3,0)</f>
        <v>545</v>
      </c>
      <c r="F294">
        <f>VLOOKUP(A294,MAU!$A:$C,3,0)</f>
        <v>1027</v>
      </c>
      <c r="G294" s="5">
        <f t="shared" si="18"/>
        <v>0.24036697247706423</v>
      </c>
      <c r="H294" s="5">
        <f t="shared" si="19"/>
        <v>0.12755598831548198</v>
      </c>
    </row>
    <row r="295" spans="1:8" x14ac:dyDescent="0.3">
      <c r="A295" s="2">
        <f t="shared" si="16"/>
        <v>4</v>
      </c>
      <c r="B295" s="2">
        <f t="shared" si="17"/>
        <v>16</v>
      </c>
      <c r="C295" s="1">
        <v>45037</v>
      </c>
      <c r="D295" s="3">
        <v>104</v>
      </c>
      <c r="E295">
        <f>VLOOKUP(B295,WAU!$A:$C,3,0)</f>
        <v>545</v>
      </c>
      <c r="F295">
        <f>VLOOKUP(A295,MAU!$A:$C,3,0)</f>
        <v>1027</v>
      </c>
      <c r="G295" s="5">
        <f t="shared" si="18"/>
        <v>0.19082568807339451</v>
      </c>
      <c r="H295" s="5">
        <f t="shared" si="19"/>
        <v>0.10126582278481013</v>
      </c>
    </row>
    <row r="296" spans="1:8" x14ac:dyDescent="0.3">
      <c r="A296" s="2">
        <f t="shared" si="16"/>
        <v>4</v>
      </c>
      <c r="B296" s="2">
        <f t="shared" si="17"/>
        <v>16</v>
      </c>
      <c r="C296" s="1">
        <v>45038</v>
      </c>
      <c r="D296" s="3">
        <v>105</v>
      </c>
      <c r="E296">
        <f>VLOOKUP(B296,WAU!$A:$C,3,0)</f>
        <v>545</v>
      </c>
      <c r="F296">
        <f>VLOOKUP(A296,MAU!$A:$C,3,0)</f>
        <v>1027</v>
      </c>
      <c r="G296" s="5">
        <f t="shared" si="18"/>
        <v>0.19266055045871561</v>
      </c>
      <c r="H296" s="5">
        <f t="shared" si="19"/>
        <v>0.10223953261927946</v>
      </c>
    </row>
    <row r="297" spans="1:8" x14ac:dyDescent="0.3">
      <c r="A297" s="2">
        <f t="shared" si="16"/>
        <v>4</v>
      </c>
      <c r="B297" s="2">
        <f t="shared" si="17"/>
        <v>16</v>
      </c>
      <c r="C297" s="1">
        <v>45039</v>
      </c>
      <c r="D297" s="3">
        <v>105</v>
      </c>
      <c r="E297">
        <f>VLOOKUP(B297,WAU!$A:$C,3,0)</f>
        <v>545</v>
      </c>
      <c r="F297">
        <f>VLOOKUP(A297,MAU!$A:$C,3,0)</f>
        <v>1027</v>
      </c>
      <c r="G297" s="5">
        <f t="shared" si="18"/>
        <v>0.19266055045871561</v>
      </c>
      <c r="H297" s="5">
        <f t="shared" si="19"/>
        <v>0.10223953261927946</v>
      </c>
    </row>
    <row r="298" spans="1:8" x14ac:dyDescent="0.3">
      <c r="A298" s="2">
        <f t="shared" si="16"/>
        <v>4</v>
      </c>
      <c r="B298" s="2">
        <f t="shared" si="17"/>
        <v>17</v>
      </c>
      <c r="C298" s="1">
        <v>45040</v>
      </c>
      <c r="D298" s="3">
        <v>90</v>
      </c>
      <c r="E298">
        <f>VLOOKUP(B298,WAU!$A:$C,3,0)</f>
        <v>422</v>
      </c>
      <c r="F298">
        <f>VLOOKUP(A298,MAU!$A:$C,3,0)</f>
        <v>1027</v>
      </c>
      <c r="G298" s="5">
        <f t="shared" si="18"/>
        <v>0.2132701421800948</v>
      </c>
      <c r="H298" s="5">
        <f t="shared" si="19"/>
        <v>8.7633885102239531E-2</v>
      </c>
    </row>
    <row r="299" spans="1:8" x14ac:dyDescent="0.3">
      <c r="A299" s="2">
        <f t="shared" si="16"/>
        <v>4</v>
      </c>
      <c r="B299" s="2">
        <f t="shared" si="17"/>
        <v>17</v>
      </c>
      <c r="C299" s="1">
        <v>45041</v>
      </c>
      <c r="D299" s="3">
        <v>101</v>
      </c>
      <c r="E299">
        <f>VLOOKUP(B299,WAU!$A:$C,3,0)</f>
        <v>422</v>
      </c>
      <c r="F299">
        <f>VLOOKUP(A299,MAU!$A:$C,3,0)</f>
        <v>1027</v>
      </c>
      <c r="G299" s="5">
        <f t="shared" si="18"/>
        <v>0.23933649289099526</v>
      </c>
      <c r="H299" s="5">
        <f t="shared" si="19"/>
        <v>9.8344693281402148E-2</v>
      </c>
    </row>
    <row r="300" spans="1:8" x14ac:dyDescent="0.3">
      <c r="A300" s="2">
        <f t="shared" si="16"/>
        <v>4</v>
      </c>
      <c r="B300" s="2">
        <f t="shared" si="17"/>
        <v>17</v>
      </c>
      <c r="C300" s="1">
        <v>45042</v>
      </c>
      <c r="D300" s="3">
        <v>92</v>
      </c>
      <c r="E300">
        <f>VLOOKUP(B300,WAU!$A:$C,3,0)</f>
        <v>422</v>
      </c>
      <c r="F300">
        <f>VLOOKUP(A300,MAU!$A:$C,3,0)</f>
        <v>1027</v>
      </c>
      <c r="G300" s="5">
        <f t="shared" si="18"/>
        <v>0.21800947867298578</v>
      </c>
      <c r="H300" s="5">
        <f t="shared" si="19"/>
        <v>8.9581304771178191E-2</v>
      </c>
    </row>
    <row r="301" spans="1:8" x14ac:dyDescent="0.3">
      <c r="A301" s="2">
        <f t="shared" si="16"/>
        <v>4</v>
      </c>
      <c r="B301" s="2">
        <f t="shared" si="17"/>
        <v>17</v>
      </c>
      <c r="C301" s="1">
        <v>45043</v>
      </c>
      <c r="D301" s="3">
        <v>68</v>
      </c>
      <c r="E301">
        <f>VLOOKUP(B301,WAU!$A:$C,3,0)</f>
        <v>422</v>
      </c>
      <c r="F301">
        <f>VLOOKUP(A301,MAU!$A:$C,3,0)</f>
        <v>1027</v>
      </c>
      <c r="G301" s="5">
        <f t="shared" si="18"/>
        <v>0.16113744075829384</v>
      </c>
      <c r="H301" s="5">
        <f t="shared" si="19"/>
        <v>6.621226874391431E-2</v>
      </c>
    </row>
    <row r="302" spans="1:8" x14ac:dyDescent="0.3">
      <c r="A302" s="2">
        <f t="shared" si="16"/>
        <v>4</v>
      </c>
      <c r="B302" s="2">
        <f t="shared" si="17"/>
        <v>17</v>
      </c>
      <c r="C302" s="1">
        <v>45044</v>
      </c>
      <c r="D302" s="3">
        <v>75</v>
      </c>
      <c r="E302">
        <f>VLOOKUP(B302,WAU!$A:$C,3,0)</f>
        <v>422</v>
      </c>
      <c r="F302">
        <f>VLOOKUP(A302,MAU!$A:$C,3,0)</f>
        <v>1027</v>
      </c>
      <c r="G302" s="5">
        <f t="shared" si="18"/>
        <v>0.17772511848341233</v>
      </c>
      <c r="H302" s="5">
        <f t="shared" si="19"/>
        <v>7.3028237585199607E-2</v>
      </c>
    </row>
    <row r="303" spans="1:8" x14ac:dyDescent="0.3">
      <c r="A303" s="2">
        <f t="shared" si="16"/>
        <v>4</v>
      </c>
      <c r="B303" s="2">
        <f t="shared" si="17"/>
        <v>17</v>
      </c>
      <c r="C303" s="1">
        <v>45045</v>
      </c>
      <c r="D303" s="3">
        <v>73</v>
      </c>
      <c r="E303">
        <f>VLOOKUP(B303,WAU!$A:$C,3,0)</f>
        <v>422</v>
      </c>
      <c r="F303">
        <f>VLOOKUP(A303,MAU!$A:$C,3,0)</f>
        <v>1027</v>
      </c>
      <c r="G303" s="5">
        <f t="shared" si="18"/>
        <v>0.17298578199052134</v>
      </c>
      <c r="H303" s="5">
        <f t="shared" si="19"/>
        <v>7.108081791626096E-2</v>
      </c>
    </row>
    <row r="304" spans="1:8" x14ac:dyDescent="0.3">
      <c r="A304" s="2">
        <f t="shared" si="16"/>
        <v>4</v>
      </c>
      <c r="B304" s="2">
        <f t="shared" si="17"/>
        <v>17</v>
      </c>
      <c r="C304" s="1">
        <v>45046</v>
      </c>
      <c r="D304" s="3">
        <v>71</v>
      </c>
      <c r="E304">
        <f>VLOOKUP(B304,WAU!$A:$C,3,0)</f>
        <v>422</v>
      </c>
      <c r="F304">
        <f>VLOOKUP(A304,MAU!$A:$C,3,0)</f>
        <v>1027</v>
      </c>
      <c r="G304" s="5">
        <f t="shared" si="18"/>
        <v>0.16824644549763032</v>
      </c>
      <c r="H304" s="5">
        <f t="shared" si="19"/>
        <v>6.91333982473223E-2</v>
      </c>
    </row>
  </sheetData>
  <autoFilter ref="A1:H304" xr:uid="{00000000-0001-0000-0000-000000000000}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F9AF1-AB39-486F-A60F-8569BCBDE498}">
  <dimension ref="A1:C45"/>
  <sheetViews>
    <sheetView workbookViewId="0"/>
  </sheetViews>
  <sheetFormatPr defaultRowHeight="14.4" x14ac:dyDescent="0.3"/>
  <cols>
    <col min="1" max="1" width="13.44140625" style="2" customWidth="1"/>
    <col min="2" max="2" width="9.6640625" style="1" bestFit="1" customWidth="1"/>
    <col min="3" max="3" width="12.5546875" style="2" customWidth="1"/>
  </cols>
  <sheetData>
    <row r="1" spans="1:3" x14ac:dyDescent="0.3">
      <c r="A1" s="2" t="s">
        <v>6</v>
      </c>
      <c r="B1" s="1" t="s">
        <v>4</v>
      </c>
      <c r="C1" s="2" t="s">
        <v>5</v>
      </c>
    </row>
    <row r="2" spans="1:3" x14ac:dyDescent="0.3">
      <c r="A2" s="2">
        <f>_xlfn.ISOWEEKNUM(B2)</f>
        <v>26</v>
      </c>
      <c r="B2" s="1">
        <v>44739</v>
      </c>
      <c r="C2" s="3">
        <v>6</v>
      </c>
    </row>
    <row r="3" spans="1:3" x14ac:dyDescent="0.3">
      <c r="A3" s="2">
        <f t="shared" ref="A3:A45" si="0">_xlfn.ISOWEEKNUM(B3)</f>
        <v>27</v>
      </c>
      <c r="B3" s="1">
        <v>44746</v>
      </c>
      <c r="C3" s="3">
        <v>59</v>
      </c>
    </row>
    <row r="4" spans="1:3" x14ac:dyDescent="0.3">
      <c r="A4" s="2">
        <f t="shared" si="0"/>
        <v>28</v>
      </c>
      <c r="B4" s="1">
        <v>44753</v>
      </c>
      <c r="C4" s="3">
        <v>92</v>
      </c>
    </row>
    <row r="5" spans="1:3" x14ac:dyDescent="0.3">
      <c r="A5" s="2">
        <f t="shared" si="0"/>
        <v>29</v>
      </c>
      <c r="B5" s="1">
        <v>44760</v>
      </c>
      <c r="C5" s="3">
        <v>133</v>
      </c>
    </row>
    <row r="6" spans="1:3" x14ac:dyDescent="0.3">
      <c r="A6" s="2">
        <f t="shared" si="0"/>
        <v>30</v>
      </c>
      <c r="B6" s="1">
        <v>44767</v>
      </c>
      <c r="C6" s="3">
        <v>183</v>
      </c>
    </row>
    <row r="7" spans="1:3" x14ac:dyDescent="0.3">
      <c r="A7" s="2">
        <f t="shared" si="0"/>
        <v>31</v>
      </c>
      <c r="B7" s="1">
        <v>44774</v>
      </c>
      <c r="C7" s="3">
        <v>202</v>
      </c>
    </row>
    <row r="8" spans="1:3" x14ac:dyDescent="0.3">
      <c r="A8" s="2">
        <f t="shared" si="0"/>
        <v>32</v>
      </c>
      <c r="B8" s="1">
        <v>44781</v>
      </c>
      <c r="C8" s="3">
        <v>193</v>
      </c>
    </row>
    <row r="9" spans="1:3" x14ac:dyDescent="0.3">
      <c r="A9" s="2">
        <f t="shared" si="0"/>
        <v>33</v>
      </c>
      <c r="B9" s="1">
        <v>44788</v>
      </c>
      <c r="C9" s="3">
        <v>201</v>
      </c>
    </row>
    <row r="10" spans="1:3" x14ac:dyDescent="0.3">
      <c r="A10" s="2">
        <f t="shared" si="0"/>
        <v>34</v>
      </c>
      <c r="B10" s="1">
        <v>44795</v>
      </c>
      <c r="C10" s="3">
        <v>206</v>
      </c>
    </row>
    <row r="11" spans="1:3" x14ac:dyDescent="0.3">
      <c r="A11" s="2">
        <f t="shared" si="0"/>
        <v>35</v>
      </c>
      <c r="B11" s="1">
        <v>44802</v>
      </c>
      <c r="C11" s="3">
        <v>192</v>
      </c>
    </row>
    <row r="12" spans="1:3" x14ac:dyDescent="0.3">
      <c r="A12" s="2">
        <f t="shared" si="0"/>
        <v>36</v>
      </c>
      <c r="B12" s="1">
        <v>44809</v>
      </c>
      <c r="C12" s="3">
        <v>196</v>
      </c>
    </row>
    <row r="13" spans="1:3" x14ac:dyDescent="0.3">
      <c r="A13" s="2">
        <f t="shared" si="0"/>
        <v>37</v>
      </c>
      <c r="B13" s="1">
        <v>44816</v>
      </c>
      <c r="C13" s="3">
        <v>205</v>
      </c>
    </row>
    <row r="14" spans="1:3" x14ac:dyDescent="0.3">
      <c r="A14" s="2">
        <f t="shared" si="0"/>
        <v>38</v>
      </c>
      <c r="B14" s="1">
        <v>44823</v>
      </c>
      <c r="C14" s="3">
        <v>213</v>
      </c>
    </row>
    <row r="15" spans="1:3" x14ac:dyDescent="0.3">
      <c r="A15" s="2">
        <f t="shared" si="0"/>
        <v>39</v>
      </c>
      <c r="B15" s="1">
        <v>44830</v>
      </c>
      <c r="C15" s="3">
        <v>208</v>
      </c>
    </row>
    <row r="16" spans="1:3" x14ac:dyDescent="0.3">
      <c r="A16" s="2">
        <f t="shared" si="0"/>
        <v>40</v>
      </c>
      <c r="B16" s="1">
        <v>44837</v>
      </c>
      <c r="C16" s="3">
        <v>207</v>
      </c>
    </row>
    <row r="17" spans="1:3" x14ac:dyDescent="0.3">
      <c r="A17" s="2">
        <f t="shared" si="0"/>
        <v>41</v>
      </c>
      <c r="B17" s="1">
        <v>44844</v>
      </c>
      <c r="C17" s="3">
        <v>204</v>
      </c>
    </row>
    <row r="18" spans="1:3" x14ac:dyDescent="0.3">
      <c r="A18" s="2">
        <f t="shared" si="0"/>
        <v>42</v>
      </c>
      <c r="B18" s="1">
        <v>44851</v>
      </c>
      <c r="C18" s="3">
        <v>201</v>
      </c>
    </row>
    <row r="19" spans="1:3" x14ac:dyDescent="0.3">
      <c r="A19" s="2">
        <f t="shared" si="0"/>
        <v>43</v>
      </c>
      <c r="B19" s="1">
        <v>44858</v>
      </c>
      <c r="C19" s="3">
        <v>213</v>
      </c>
    </row>
    <row r="20" spans="1:3" x14ac:dyDescent="0.3">
      <c r="A20" s="2">
        <f t="shared" si="0"/>
        <v>44</v>
      </c>
      <c r="B20" s="1">
        <v>44865</v>
      </c>
      <c r="C20" s="3">
        <v>214</v>
      </c>
    </row>
    <row r="21" spans="1:3" x14ac:dyDescent="0.3">
      <c r="A21" s="2">
        <f t="shared" si="0"/>
        <v>45</v>
      </c>
      <c r="B21" s="1">
        <v>44872</v>
      </c>
      <c r="C21" s="3">
        <v>203</v>
      </c>
    </row>
    <row r="22" spans="1:3" x14ac:dyDescent="0.3">
      <c r="A22" s="2">
        <f t="shared" si="0"/>
        <v>46</v>
      </c>
      <c r="B22" s="1">
        <v>44879</v>
      </c>
      <c r="C22" s="3">
        <v>202</v>
      </c>
    </row>
    <row r="23" spans="1:3" x14ac:dyDescent="0.3">
      <c r="A23" s="2">
        <f t="shared" si="0"/>
        <v>47</v>
      </c>
      <c r="B23" s="1">
        <v>44886</v>
      </c>
      <c r="C23" s="3">
        <v>167</v>
      </c>
    </row>
    <row r="24" spans="1:3" x14ac:dyDescent="0.3">
      <c r="A24" s="2">
        <f t="shared" si="0"/>
        <v>48</v>
      </c>
      <c r="B24" s="1">
        <v>44893</v>
      </c>
      <c r="C24" s="3">
        <v>157</v>
      </c>
    </row>
    <row r="25" spans="1:3" x14ac:dyDescent="0.3">
      <c r="A25" s="2">
        <f t="shared" si="0"/>
        <v>49</v>
      </c>
      <c r="B25" s="1">
        <v>44900</v>
      </c>
      <c r="C25" s="3">
        <v>156</v>
      </c>
    </row>
    <row r="26" spans="1:3" x14ac:dyDescent="0.3">
      <c r="A26" s="2">
        <f t="shared" si="0"/>
        <v>50</v>
      </c>
      <c r="B26" s="1">
        <v>44907</v>
      </c>
      <c r="C26" s="3">
        <v>153</v>
      </c>
    </row>
    <row r="27" spans="1:3" x14ac:dyDescent="0.3">
      <c r="A27" s="2">
        <f t="shared" si="0"/>
        <v>51</v>
      </c>
      <c r="B27" s="1">
        <v>44914</v>
      </c>
      <c r="C27" s="3">
        <v>145</v>
      </c>
    </row>
    <row r="28" spans="1:3" x14ac:dyDescent="0.3">
      <c r="A28" s="2">
        <f t="shared" si="0"/>
        <v>52</v>
      </c>
      <c r="B28" s="1">
        <v>44921</v>
      </c>
      <c r="C28" s="3">
        <v>141</v>
      </c>
    </row>
    <row r="29" spans="1:3" x14ac:dyDescent="0.3">
      <c r="A29" s="2">
        <f t="shared" si="0"/>
        <v>1</v>
      </c>
      <c r="B29" s="1">
        <v>44928</v>
      </c>
      <c r="C29" s="3">
        <v>190</v>
      </c>
    </row>
    <row r="30" spans="1:3" x14ac:dyDescent="0.3">
      <c r="A30" s="2">
        <f t="shared" si="0"/>
        <v>2</v>
      </c>
      <c r="B30" s="1">
        <v>44935</v>
      </c>
      <c r="C30" s="3">
        <v>233</v>
      </c>
    </row>
    <row r="31" spans="1:3" x14ac:dyDescent="0.3">
      <c r="A31" s="2">
        <f t="shared" si="0"/>
        <v>3</v>
      </c>
      <c r="B31" s="1">
        <v>44942</v>
      </c>
      <c r="C31" s="3">
        <v>272</v>
      </c>
    </row>
    <row r="32" spans="1:3" x14ac:dyDescent="0.3">
      <c r="A32" s="2">
        <f t="shared" si="0"/>
        <v>4</v>
      </c>
      <c r="B32" s="1">
        <v>44949</v>
      </c>
      <c r="C32" s="3">
        <v>295</v>
      </c>
    </row>
    <row r="33" spans="1:3" x14ac:dyDescent="0.3">
      <c r="A33" s="2">
        <f t="shared" si="0"/>
        <v>5</v>
      </c>
      <c r="B33" s="1">
        <v>44956</v>
      </c>
      <c r="C33" s="3">
        <v>346</v>
      </c>
    </row>
    <row r="34" spans="1:3" x14ac:dyDescent="0.3">
      <c r="A34" s="2">
        <f t="shared" si="0"/>
        <v>6</v>
      </c>
      <c r="B34" s="1">
        <v>44963</v>
      </c>
      <c r="C34" s="3">
        <v>340</v>
      </c>
    </row>
    <row r="35" spans="1:3" x14ac:dyDescent="0.3">
      <c r="A35" s="2">
        <f t="shared" si="0"/>
        <v>7</v>
      </c>
      <c r="B35" s="1">
        <v>44970</v>
      </c>
      <c r="C35" s="3">
        <v>347</v>
      </c>
    </row>
    <row r="36" spans="1:3" x14ac:dyDescent="0.3">
      <c r="A36" s="2">
        <f t="shared" si="0"/>
        <v>8</v>
      </c>
      <c r="B36" s="1">
        <v>44977</v>
      </c>
      <c r="C36" s="3">
        <v>384</v>
      </c>
    </row>
    <row r="37" spans="1:3" x14ac:dyDescent="0.3">
      <c r="A37" s="2">
        <f t="shared" si="0"/>
        <v>9</v>
      </c>
      <c r="B37" s="1">
        <v>44984</v>
      </c>
      <c r="C37" s="3">
        <v>611</v>
      </c>
    </row>
    <row r="38" spans="1:3" x14ac:dyDescent="0.3">
      <c r="A38" s="2">
        <f t="shared" si="0"/>
        <v>10</v>
      </c>
      <c r="B38" s="1">
        <v>44991</v>
      </c>
      <c r="C38" s="3">
        <v>712</v>
      </c>
    </row>
    <row r="39" spans="1:3" x14ac:dyDescent="0.3">
      <c r="A39" s="2">
        <f t="shared" si="0"/>
        <v>11</v>
      </c>
      <c r="B39" s="1">
        <v>44998</v>
      </c>
      <c r="C39" s="3">
        <v>772</v>
      </c>
    </row>
    <row r="40" spans="1:3" x14ac:dyDescent="0.3">
      <c r="A40" s="2">
        <f t="shared" si="0"/>
        <v>12</v>
      </c>
      <c r="B40" s="1">
        <v>45005</v>
      </c>
      <c r="C40" s="3">
        <v>656</v>
      </c>
    </row>
    <row r="41" spans="1:3" x14ac:dyDescent="0.3">
      <c r="A41" s="2">
        <f t="shared" si="0"/>
        <v>13</v>
      </c>
      <c r="B41" s="1">
        <v>45012</v>
      </c>
      <c r="C41" s="3">
        <v>661</v>
      </c>
    </row>
    <row r="42" spans="1:3" x14ac:dyDescent="0.3">
      <c r="A42" s="2">
        <f t="shared" si="0"/>
        <v>14</v>
      </c>
      <c r="B42" s="1">
        <v>45019</v>
      </c>
      <c r="C42" s="3">
        <v>699</v>
      </c>
    </row>
    <row r="43" spans="1:3" x14ac:dyDescent="0.3">
      <c r="A43" s="2">
        <f t="shared" si="0"/>
        <v>15</v>
      </c>
      <c r="B43" s="1">
        <v>45026</v>
      </c>
      <c r="C43" s="3">
        <v>614</v>
      </c>
    </row>
    <row r="44" spans="1:3" x14ac:dyDescent="0.3">
      <c r="A44" s="2">
        <f t="shared" si="0"/>
        <v>16</v>
      </c>
      <c r="B44" s="1">
        <v>45033</v>
      </c>
      <c r="C44" s="3">
        <v>545</v>
      </c>
    </row>
    <row r="45" spans="1:3" x14ac:dyDescent="0.3">
      <c r="A45" s="2">
        <f t="shared" si="0"/>
        <v>17</v>
      </c>
      <c r="B45" s="1">
        <v>45040</v>
      </c>
      <c r="C45" s="3">
        <v>422</v>
      </c>
    </row>
  </sheetData>
  <autoFilter ref="A1:C45" xr:uid="{434F9AF1-AB39-486F-A60F-8569BCBDE498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A8C12-48C4-46C8-9C5D-C773D6895E82}">
  <dimension ref="A1:C11"/>
  <sheetViews>
    <sheetView workbookViewId="0">
      <selection activeCell="B4" sqref="B4"/>
    </sheetView>
  </sheetViews>
  <sheetFormatPr defaultRowHeight="14.4" x14ac:dyDescent="0.3"/>
  <cols>
    <col min="1" max="1" width="10.44140625" style="4" bestFit="1" customWidth="1"/>
    <col min="2" max="2" width="20.33203125" style="1" customWidth="1"/>
    <col min="3" max="3" width="11.21875" style="2" customWidth="1"/>
  </cols>
  <sheetData>
    <row r="1" spans="1:3" x14ac:dyDescent="0.3">
      <c r="A1" s="4" t="s">
        <v>9</v>
      </c>
      <c r="B1" s="1" t="s">
        <v>2</v>
      </c>
      <c r="C1" s="2" t="s">
        <v>3</v>
      </c>
    </row>
    <row r="2" spans="1:3" x14ac:dyDescent="0.3">
      <c r="A2" s="4">
        <f>MONTH(B2)</f>
        <v>7</v>
      </c>
      <c r="B2" s="1">
        <v>44743</v>
      </c>
      <c r="C2" s="3">
        <v>193</v>
      </c>
    </row>
    <row r="3" spans="1:3" x14ac:dyDescent="0.3">
      <c r="A3" s="4">
        <f t="shared" ref="A3:A11" si="0">MONTH(B3)</f>
        <v>8</v>
      </c>
      <c r="B3" s="1">
        <v>44774</v>
      </c>
      <c r="C3" s="3">
        <v>366</v>
      </c>
    </row>
    <row r="4" spans="1:3" x14ac:dyDescent="0.3">
      <c r="A4" s="4">
        <f t="shared" si="0"/>
        <v>9</v>
      </c>
      <c r="B4" s="1">
        <v>44805</v>
      </c>
      <c r="C4" s="3">
        <v>378</v>
      </c>
    </row>
    <row r="5" spans="1:3" x14ac:dyDescent="0.3">
      <c r="A5" s="4">
        <f t="shared" si="0"/>
        <v>10</v>
      </c>
      <c r="B5" s="1">
        <v>44835</v>
      </c>
      <c r="C5" s="3">
        <v>393</v>
      </c>
    </row>
    <row r="6" spans="1:3" x14ac:dyDescent="0.3">
      <c r="A6" s="4">
        <f t="shared" si="0"/>
        <v>11</v>
      </c>
      <c r="B6" s="1">
        <v>44866</v>
      </c>
      <c r="C6" s="3">
        <v>426</v>
      </c>
    </row>
    <row r="7" spans="1:3" x14ac:dyDescent="0.3">
      <c r="A7" s="4">
        <f t="shared" si="0"/>
        <v>12</v>
      </c>
      <c r="B7" s="1">
        <v>44896</v>
      </c>
      <c r="C7" s="3">
        <v>390</v>
      </c>
    </row>
    <row r="8" spans="1:3" x14ac:dyDescent="0.3">
      <c r="A8" s="4">
        <f t="shared" si="0"/>
        <v>1</v>
      </c>
      <c r="B8" s="1">
        <v>44927</v>
      </c>
      <c r="C8" s="3">
        <v>536</v>
      </c>
    </row>
    <row r="9" spans="1:3" x14ac:dyDescent="0.3">
      <c r="A9" s="4">
        <f t="shared" si="0"/>
        <v>2</v>
      </c>
      <c r="B9" s="1">
        <v>44958</v>
      </c>
      <c r="C9" s="3">
        <v>696</v>
      </c>
    </row>
    <row r="10" spans="1:3" x14ac:dyDescent="0.3">
      <c r="A10" s="4">
        <f t="shared" si="0"/>
        <v>3</v>
      </c>
      <c r="B10" s="1">
        <v>44986</v>
      </c>
      <c r="C10" s="3">
        <v>1544</v>
      </c>
    </row>
    <row r="11" spans="1:3" x14ac:dyDescent="0.3">
      <c r="A11" s="4">
        <f t="shared" si="0"/>
        <v>4</v>
      </c>
      <c r="B11" s="1">
        <v>45017</v>
      </c>
      <c r="C11" s="3">
        <v>1027</v>
      </c>
    </row>
  </sheetData>
  <autoFilter ref="A1:C11" xr:uid="{DB9A8C12-48C4-46C8-9C5D-C773D6895E8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DAU</vt:lpstr>
      <vt:lpstr>WAU</vt:lpstr>
      <vt:lpstr>MAU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 164.2</cp:lastModifiedBy>
  <dcterms:created xsi:type="dcterms:W3CDTF">2026-05-06T09:14:47Z</dcterms:created>
  <dcterms:modified xsi:type="dcterms:W3CDTF">2026-06-19T08:47:24Z</dcterms:modified>
</cp:coreProperties>
</file>